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사업\6. 매출\2606\소하담\"/>
    </mc:Choice>
  </mc:AlternateContent>
  <xr:revisionPtr revIDLastSave="0" documentId="8_{336FEFE7-A3C5-4A6F-83CB-589B1A82DA94}" xr6:coauthVersionLast="47" xr6:coauthVersionMax="47" xr10:uidLastSave="{00000000-0000-0000-0000-000000000000}"/>
  <bookViews>
    <workbookView xWindow="38280" yWindow="2685" windowWidth="29040" windowHeight="15720" xr2:uid="{EBB55CC8-5CF2-4F32-917E-975D98934ABA}"/>
  </bookViews>
  <sheets>
    <sheet name="명세서" sheetId="1" r:id="rId1"/>
    <sheet name="전체주문내역" sheetId="2" r:id="rId2"/>
    <sheet name="반품" sheetId="5" r:id="rId3"/>
    <sheet name="교환" sheetId="6" r:id="rId4"/>
  </sheets>
  <definedNames>
    <definedName name="_xlnm._FilterDatabase" localSheetId="1" hidden="1">전체주문내역!$A$2:$AZ$2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1" l="1"/>
  <c r="AN3" i="2"/>
  <c r="AN8" i="2"/>
  <c r="AN4" i="2"/>
  <c r="AN5" i="2"/>
  <c r="AN6" i="2"/>
  <c r="AN7" i="2"/>
  <c r="AN9" i="2"/>
  <c r="AN10" i="2"/>
  <c r="AN11" i="2"/>
  <c r="AN12" i="2"/>
  <c r="N14" i="1" l="1"/>
  <c r="W14" i="1" s="1"/>
  <c r="N11" i="1" l="1"/>
  <c r="W11" i="1" s="1"/>
  <c r="P24" i="1" l="1"/>
  <c r="N13" i="1"/>
  <c r="N12" i="1"/>
  <c r="W12" i="1" s="1"/>
  <c r="W13" i="1" l="1"/>
  <c r="W15" i="1" s="1"/>
  <c r="W18" i="1" s="1"/>
  <c r="N19" i="1"/>
  <c r="N21" i="1"/>
  <c r="S12" i="1"/>
  <c r="S14" i="1"/>
  <c r="W16" i="1" l="1"/>
  <c r="S11" i="1"/>
  <c r="S13" i="1"/>
  <c r="L14" i="1" l="1"/>
  <c r="L13" i="1"/>
  <c r="L12" i="1"/>
  <c r="L11" i="1" l="1"/>
  <c r="R15" i="1" l="1"/>
  <c r="P23" i="1" l="1"/>
  <c r="P12" i="1" l="1"/>
  <c r="P14" i="1"/>
  <c r="P11" i="1"/>
  <c r="P13" i="1"/>
  <c r="P27" i="1" l="1"/>
  <c r="K21" i="1"/>
  <c r="L28" i="1" l="1"/>
  <c r="F9" i="1" s="1"/>
</calcChain>
</file>

<file path=xl/sharedStrings.xml><?xml version="1.0" encoding="utf-8"?>
<sst xmlns="http://schemas.openxmlformats.org/spreadsheetml/2006/main" count="410" uniqueCount="219">
  <si>
    <t>고객의 개인정보보호를 위해 전체주문내역 / 반품 / 교환 sheet는 즉시 삭제해 주시기 바랍니다.</t>
    <phoneticPr fontId="4" type="noConversion"/>
  </si>
  <si>
    <t xml:space="preserve">수
급
자 </t>
    <phoneticPr fontId="6" type="noConversion"/>
  </si>
  <si>
    <t>상호명(성명)</t>
    <phoneticPr fontId="6" type="noConversion"/>
  </si>
  <si>
    <t xml:space="preserve">지급처 </t>
    <phoneticPr fontId="6" type="noConversion"/>
  </si>
  <si>
    <t>상  호 (법인명)</t>
    <phoneticPr fontId="6" type="noConversion"/>
  </si>
  <si>
    <t>㈜엘씨에이치</t>
    <phoneticPr fontId="4" type="noConversion"/>
  </si>
  <si>
    <t>주민등록번호
(사업자번호)</t>
    <phoneticPr fontId="6" type="noConversion"/>
  </si>
  <si>
    <t>등록번호</t>
    <phoneticPr fontId="6" type="noConversion"/>
  </si>
  <si>
    <t>517-81-02543</t>
    <phoneticPr fontId="4" type="noConversion"/>
  </si>
  <si>
    <t>대표자</t>
    <phoneticPr fontId="4" type="noConversion"/>
  </si>
  <si>
    <t>최재우</t>
    <phoneticPr fontId="4" type="noConversion"/>
  </si>
  <si>
    <t xml:space="preserve">주   소 </t>
    <phoneticPr fontId="6" type="noConversion"/>
  </si>
  <si>
    <t>사업장 주소</t>
    <phoneticPr fontId="6" type="noConversion"/>
  </si>
  <si>
    <t>계좌번호</t>
    <phoneticPr fontId="6" type="noConversion"/>
  </si>
  <si>
    <t>전  화</t>
    <phoneticPr fontId="6" type="noConversion"/>
  </si>
  <si>
    <t>070-5220-1641</t>
    <phoneticPr fontId="4" type="noConversion"/>
  </si>
  <si>
    <r>
      <rPr>
        <sz val="8"/>
        <color rgb="FF000000"/>
        <rFont val="맑은 고딕"/>
        <family val="3"/>
        <charset val="129"/>
        <scheme val="major"/>
      </rPr>
      <t>팩 스</t>
    </r>
  </si>
  <si>
    <t>-</t>
    <phoneticPr fontId="4" type="noConversion"/>
  </si>
  <si>
    <t>합계금액</t>
    <phoneticPr fontId="6" type="noConversion"/>
  </si>
  <si>
    <t>참고사항</t>
  </si>
  <si>
    <t>년</t>
  </si>
  <si>
    <t>월</t>
  </si>
  <si>
    <t>일</t>
  </si>
  <si>
    <t>품                목</t>
  </si>
  <si>
    <t>공구가</t>
    <phoneticPr fontId="6" type="noConversion"/>
  </si>
  <si>
    <t>마진</t>
    <phoneticPr fontId="6" type="noConversion"/>
  </si>
  <si>
    <t>수량</t>
    <phoneticPr fontId="6" type="noConversion"/>
  </si>
  <si>
    <t>주문건수</t>
    <phoneticPr fontId="4" type="noConversion"/>
  </si>
  <si>
    <t>박스수량</t>
    <phoneticPr fontId="6" type="noConversion"/>
  </si>
  <si>
    <t xml:space="preserve"> *특이사항*</t>
    <phoneticPr fontId="4" type="noConversion"/>
  </si>
  <si>
    <t>회사 지원</t>
  </si>
  <si>
    <t>이벤트 지원</t>
    <phoneticPr fontId="4" type="noConversion"/>
  </si>
  <si>
    <t>합계</t>
    <phoneticPr fontId="6" type="noConversion"/>
  </si>
  <si>
    <t>총 지 급 액 (VAT 포함)</t>
    <phoneticPr fontId="6" type="noConversion"/>
  </si>
  <si>
    <t>㈜엘씨에이치 (ELCH Co., Ltd.)</t>
    <phoneticPr fontId="4" type="noConversion"/>
  </si>
  <si>
    <t>주문번호</t>
  </si>
  <si>
    <t>-</t>
    <phoneticPr fontId="3" type="noConversion"/>
  </si>
  <si>
    <t xml:space="preserve"> * 반품 건</t>
    <phoneticPr fontId="4" type="noConversion"/>
  </si>
  <si>
    <t>사업소득세</t>
    <phoneticPr fontId="6" type="noConversion"/>
  </si>
  <si>
    <t xml:space="preserve"> - 없음.</t>
    <phoneticPr fontId="3" type="noConversion"/>
  </si>
  <si>
    <t>4팩
소비자부담
5팩 이상 
회사지원</t>
    <phoneticPr fontId="4" type="noConversion"/>
  </si>
  <si>
    <t>배송비 (5팩 이상 무료배송 / 건당 3,000원)</t>
    <phoneticPr fontId="4" type="noConversion"/>
  </si>
  <si>
    <t>인천광역시 연수구 인천타워대로 323, 송도 센트로드 오피스 A동 33층 3310호</t>
    <phoneticPr fontId="4" type="noConversion"/>
  </si>
  <si>
    <t>결제수수료</t>
    <phoneticPr fontId="3" type="noConversion"/>
  </si>
  <si>
    <t>총 주문액</t>
    <phoneticPr fontId="3" type="noConversion"/>
  </si>
  <si>
    <t>채널명</t>
  </si>
  <si>
    <t>채널ID</t>
  </si>
  <si>
    <t>주문일</t>
  </si>
  <si>
    <t>주문자명</t>
  </si>
  <si>
    <t>주문자연락처</t>
  </si>
  <si>
    <t>수령인명</t>
  </si>
  <si>
    <t>수령인연락처</t>
  </si>
  <si>
    <t>우편번호</t>
  </si>
  <si>
    <t>주소</t>
  </si>
  <si>
    <t>결제방법</t>
  </si>
  <si>
    <t>결제금액(통합)</t>
  </si>
  <si>
    <t>상품명</t>
  </si>
  <si>
    <t>자체옵션코드명</t>
  </si>
  <si>
    <t>주문수량</t>
  </si>
  <si>
    <t>스룩페이 수수료</t>
    <phoneticPr fontId="4" type="noConversion"/>
  </si>
  <si>
    <t>고객선택옵션</t>
  </si>
  <si>
    <t>자체옵션코드</t>
  </si>
  <si>
    <t>상품관리메모</t>
  </si>
  <si>
    <t>추가선택</t>
  </si>
  <si>
    <t>추가금액</t>
  </si>
  <si>
    <t>부분취소금액(통합)</t>
  </si>
  <si>
    <t>부분취소조정금액(통합)</t>
  </si>
  <si>
    <t>상품구간할인(상품별)</t>
  </si>
  <si>
    <t>배송비(통합)</t>
  </si>
  <si>
    <t>추가배송비(통합)</t>
  </si>
  <si>
    <t>주문상품고유번호</t>
  </si>
  <si>
    <t>상품코드</t>
  </si>
  <si>
    <t>자체상품코드</t>
  </si>
  <si>
    <t>취소수량</t>
  </si>
  <si>
    <t>공급가</t>
  </si>
  <si>
    <t>상품금액(옵션포함)</t>
  </si>
  <si>
    <t>묶음설정</t>
  </si>
  <si>
    <t>주문경로</t>
  </si>
  <si>
    <t>택배사</t>
  </si>
  <si>
    <t>송장번호</t>
  </si>
  <si>
    <t>발주처</t>
  </si>
  <si>
    <t>주문관리메모</t>
  </si>
  <si>
    <t>배송시 요청사항</t>
  </si>
  <si>
    <t>개인통관번호</t>
  </si>
  <si>
    <t>2박스 결제 총액</t>
    <phoneticPr fontId="3" type="noConversion"/>
  </si>
  <si>
    <t>5박스 결제 총액</t>
    <phoneticPr fontId="3" type="noConversion"/>
  </si>
  <si>
    <t>7박스 결제 총액</t>
    <phoneticPr fontId="3" type="noConversion"/>
  </si>
  <si>
    <t>10박스 결제 총액</t>
    <phoneticPr fontId="3" type="noConversion"/>
  </si>
  <si>
    <t>전체 총액</t>
    <phoneticPr fontId="3" type="noConversion"/>
  </si>
  <si>
    <t>주문내역 결체 총액과 차이</t>
    <phoneticPr fontId="3" type="noConversion"/>
  </si>
  <si>
    <t>결제수수료 체크</t>
    <phoneticPr fontId="3" type="noConversion"/>
  </si>
  <si>
    <t>가꾸기</t>
  </si>
  <si>
    <t>e-100</t>
  </si>
  <si>
    <t>재고옵션코드</t>
  </si>
  <si>
    <t>0</t>
  </si>
  <si>
    <t>CJ대한통운</t>
  </si>
  <si>
    <t>신용카드</t>
  </si>
  <si>
    <t>거래명세서</t>
    <phoneticPr fontId="6" type="noConversion"/>
  </si>
  <si>
    <t>3.3% 소득세 (미해당 - 사업자)</t>
    <phoneticPr fontId="4" type="noConversion"/>
  </si>
  <si>
    <t>세금계산서 발행 예정</t>
    <phoneticPr fontId="4" type="noConversion"/>
  </si>
  <si>
    <t>가꾸기 쉐이크 (5종) 2팩</t>
    <phoneticPr fontId="4" type="noConversion"/>
  </si>
  <si>
    <t>가꾸기 쉐이크 (5종) 5팩</t>
    <phoneticPr fontId="4" type="noConversion"/>
  </si>
  <si>
    <t>가꾸기 쉐이크 (5종) 7+1팩</t>
    <phoneticPr fontId="4" type="noConversion"/>
  </si>
  <si>
    <t>가꾸기 쉐이크 (5종) 10+2팩</t>
    <phoneticPr fontId="4" type="noConversion"/>
  </si>
  <si>
    <t>7+1&amp;10+2</t>
    <phoneticPr fontId="3" type="noConversion"/>
  </si>
  <si>
    <t>kakkuki064</t>
  </si>
  <si>
    <t>NKA60611-85876910</t>
  </si>
  <si>
    <t>2026-06-11 10:13:02</t>
  </si>
  <si>
    <t>박은하</t>
  </si>
  <si>
    <t>010-9386-4024</t>
  </si>
  <si>
    <t>27627</t>
  </si>
  <si>
    <t>충북 음성군 금왕읍 대금로 1557-14 (금석리, 음성금왕시티프라디움) 106-101</t>
  </si>
  <si>
    <t>카카오 포인트</t>
  </si>
  <si>
    <t>77541425</t>
  </si>
  <si>
    <t>SKA97644149</t>
  </si>
  <si>
    <t>[가꾸기x소하담바카] 다이어트 단백질 쉐이크(초코맛,곡물맛,흑임자맛,옥수수맛,쿠앤크맛) 1팩(5포)ㅣ7+1 &amp; 10+2 EVENTㅣ고단백질 고식이섬유 식사대용 체중조절용조제식품</t>
  </si>
  <si>
    <t>수량 선택 :2팩(10포) / 맛 가지 수 선택 :2가지맛 / 구성 선택 :초코맛1팩+옥수수맛1팩 (+0원)</t>
  </si>
  <si>
    <t>초코1+옥수수1</t>
  </si>
  <si>
    <t>인스타그램</t>
  </si>
  <si>
    <t>522061833465</t>
  </si>
  <si>
    <t>NKA60612-76747338</t>
  </si>
  <si>
    <t>2026-06-12 10:32:50</t>
  </si>
  <si>
    <t>양가영</t>
  </si>
  <si>
    <t>010-9366-6801</t>
  </si>
  <si>
    <t>41213</t>
  </si>
  <si>
    <t>대구 동구 송라로28길 14 (신암동, 이안동대구) 109동202호</t>
  </si>
  <si>
    <t>네이버페이</t>
  </si>
  <si>
    <t>77562641</t>
  </si>
  <si>
    <t>수량 선택 :7+1팩(40포) / 맛 가지 수 선택 :2가지맛 / 구성 선택 :초코맛4팩+곡물맛3팩 (+79,500원)</t>
  </si>
  <si>
    <t>초코4+곡물3</t>
  </si>
  <si>
    <t>NKA60612-23795739</t>
  </si>
  <si>
    <t>2026-06-12 21:15:18</t>
  </si>
  <si>
    <t>유진빈</t>
  </si>
  <si>
    <t>010-4554-2865</t>
  </si>
  <si>
    <t>46726</t>
  </si>
  <si>
    <t>부산 강서구 명지국제2로 16 (명지동, 부산 명지 제나우스 블루오션 오피스텔) 1006호</t>
  </si>
  <si>
    <t>네이버포인트</t>
  </si>
  <si>
    <t>77574180</t>
  </si>
  <si>
    <t>수량 선택 :2팩(10포) / 맛 가지 수 선택 :1가지맛 / 구성 선택 :쿠키맛2팩 (+0원)</t>
  </si>
  <si>
    <t>쿠키2</t>
  </si>
  <si>
    <t>522084630483</t>
  </si>
  <si>
    <t>NKA60613-86445457</t>
  </si>
  <si>
    <t>2026-06-13 00:08:11</t>
  </si>
  <si>
    <t>안정우</t>
  </si>
  <si>
    <t>010-9446-1050</t>
  </si>
  <si>
    <t>04307</t>
  </si>
  <si>
    <t>서울 용산구 청파동1가 97-10 201호</t>
  </si>
  <si>
    <t>77576348</t>
  </si>
  <si>
    <t>수량 선택 :5팩(25포) / 맛 가지 수 선택 :3가지맛 / 구성 선택 :초코맛2팩+옥수수맛1팩+쿠키맛2팩 (+49,000원)</t>
  </si>
  <si>
    <t>초코2+옥수수1+쿠키2</t>
  </si>
  <si>
    <t>기타</t>
  </si>
  <si>
    <t>522084630096</t>
  </si>
  <si>
    <t>NKA60613-6390925</t>
  </si>
  <si>
    <t>2026-06-13 08:54:05</t>
  </si>
  <si>
    <t>박선영</t>
  </si>
  <si>
    <t>010-8684-2083</t>
  </si>
  <si>
    <t>12944</t>
  </si>
  <si>
    <t>경기 하남시 대청로 119 (창우동, 부영아파트) 102-804</t>
  </si>
  <si>
    <t>77578471</t>
  </si>
  <si>
    <t>수량 선택 :5팩(25포) / 맛 가지 수 선택 :3가지맛 / 구성 선택 :곡물맛2팩+흑임자맛1팩+쿠키맛2팩 (+49,000원)</t>
  </si>
  <si>
    <t>곡물2+흑임자1+쿠키2</t>
  </si>
  <si>
    <t>522084630262</t>
  </si>
  <si>
    <t>NKA60613-87484334</t>
  </si>
  <si>
    <t>2026-06-13 14:52:46</t>
  </si>
  <si>
    <t>김빛나</t>
  </si>
  <si>
    <t>010-3410-7326</t>
  </si>
  <si>
    <t>30128</t>
  </si>
  <si>
    <t>세종특별자치시 나성북로 47 (나성동, 나릿재마을4단지) 403동904호</t>
  </si>
  <si>
    <t>77583718</t>
  </si>
  <si>
    <t>수량 선택 :5팩(25포) / 맛 가지 수 선택 :4가지맛 / 구성 선택 :초코맛1팩+곡물맛2팩+흑임자맛1팩+쿠키맛1팩 (+49,000원)</t>
  </si>
  <si>
    <t>초코1+곡물2+흑임자1+쿠키1</t>
  </si>
  <si>
    <t>카카오톡</t>
  </si>
  <si>
    <t>522084629901</t>
  </si>
  <si>
    <t>NKA60612-6215966</t>
  </si>
  <si>
    <t>2026-06-12 16:47:08</t>
  </si>
  <si>
    <t>이선미</t>
  </si>
  <si>
    <t>010-9517-0028</t>
  </si>
  <si>
    <t>32271</t>
  </si>
  <si>
    <t>충남 홍성군 홍북읍 홍학로 88 (신경리, 한울마을 모아엘가 아파트) 112동 803호</t>
  </si>
  <si>
    <t>77571021</t>
  </si>
  <si>
    <t>수량 선택 :7+1팩(40포) / 맛 가지 수 선택 :4가지맛 / 구성 선택 :초코맛2팩+곡물맛2팩+옥수수맛2팩+쿠키맛1팩 (+79,500원)</t>
  </si>
  <si>
    <t>초코2+곡물2+옥수수2+쿠키1</t>
  </si>
  <si>
    <t>522084630085</t>
  </si>
  <si>
    <t>NKA60612-67452417</t>
  </si>
  <si>
    <t>2026-06-12 17:54:50</t>
  </si>
  <si>
    <t>정효령</t>
  </si>
  <si>
    <t>010-2708-2379</t>
  </si>
  <si>
    <t>50972</t>
  </si>
  <si>
    <t>경남 김해시 외덕로 125 (내덕동, 장유역 중흥S-클래스 더퍼스트) 104동2002호</t>
  </si>
  <si>
    <t>77571903</t>
  </si>
  <si>
    <t>수량 선택 :10+2팩(60포) / 맛 가지 수 선택 :3가지맛 / 구성 선택 :곡물맛4팩+흑임자맛3팩+옥수수맛3팩 (+125,500원)</t>
  </si>
  <si>
    <t>곡물4+흑임자3+옥수수3</t>
  </si>
  <si>
    <t>522084630295</t>
  </si>
  <si>
    <t>2002호 0309 비번입니다!</t>
  </si>
  <si>
    <t>NKA60613-55441892</t>
  </si>
  <si>
    <t>2026-06-13 11:39:54</t>
  </si>
  <si>
    <t>우은미</t>
  </si>
  <si>
    <t>010-4014-9782</t>
  </si>
  <si>
    <t>42925</t>
  </si>
  <si>
    <t>대구 달성군 다사읍 서재로30길 6-3 (서재리, 서재 태진아파트) 501호</t>
  </si>
  <si>
    <t>77581051</t>
  </si>
  <si>
    <t>수량 선택 :10+2팩(60포) / 맛 가지 수 선택 :4가지맛 / 구성 선택 :초코맛4팩+곡물맛2팩+흑임자맛2팩+옥수수맛2팩 (+125,500원)</t>
  </si>
  <si>
    <t>초코4+곡물2+흑임자2+옥수수2</t>
  </si>
  <si>
    <t>522084630181</t>
  </si>
  <si>
    <t>NKA60613-29278799</t>
  </si>
  <si>
    <t>2026-06-13 12:47:39</t>
  </si>
  <si>
    <t>장소연</t>
  </si>
  <si>
    <t>010-9063-8399</t>
  </si>
  <si>
    <t>35274</t>
  </si>
  <si>
    <t>대전 서구 계룡로264번길 61 (월평동, 빅토리아빌) 601호</t>
  </si>
  <si>
    <t>77582081</t>
  </si>
  <si>
    <t>수량 선택 :10+2팩(60포) / 맛 가지 수 선택 :4가지맛 / 구성 선택 :초코맛3팩+곡물맛3팩+흑임자맛2팩+쿠키맛2팩 (+125,500원)</t>
  </si>
  <si>
    <t>초코3+곡물3+흑임자2+쿠키2</t>
  </si>
  <si>
    <t>522084630122</t>
  </si>
  <si>
    <t>커넥트셀 (허연선 대표님)</t>
    <phoneticPr fontId="3" type="noConversion"/>
  </si>
  <si>
    <t>676-48-00866</t>
    <phoneticPr fontId="3" type="noConversion"/>
  </si>
  <si>
    <t>서울특별시 마포구 마포대로 52, 1328호
(도화동, 고려아카데미텔)</t>
    <phoneticPr fontId="3" type="noConversion"/>
  </si>
  <si>
    <t>하나 / 176-910050-83504</t>
    <phoneticPr fontId="3" type="noConversion"/>
  </si>
  <si>
    <t>벤더공급가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</si>
</sst>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&quot;₩&quot;#,##0_);[Red]\(&quot;₩&quot;#,##0\)"/>
    <numFmt numFmtId="177" formatCode="&quot;₩&quot;#,##0"/>
    <numFmt numFmtId="178" formatCode="yyyy/mm/dd\ hh:mm"/>
  </numFmts>
  <fonts count="37" x14ac:knownFonts="1">
    <font>
      <sz val="10"/>
      <color theme="1"/>
      <name val="맑은 고딕"/>
      <family val="2"/>
      <charset val="129"/>
    </font>
    <font>
      <sz val="10"/>
      <color rgb="FF000000"/>
      <name val="Times New Roman"/>
      <family val="1"/>
    </font>
    <font>
      <b/>
      <sz val="13"/>
      <color rgb="FFFF0000"/>
      <name val="맑은 고딕"/>
      <family val="2"/>
      <charset val="129"/>
      <scheme val="major"/>
    </font>
    <font>
      <sz val="8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8"/>
      <color rgb="FF000000"/>
      <name val="맑은 고딕"/>
      <family val="3"/>
      <charset val="129"/>
      <scheme val="major"/>
    </font>
    <font>
      <sz val="8.5"/>
      <color rgb="FF000000"/>
      <name val="바탕체"/>
      <family val="1"/>
      <charset val="129"/>
    </font>
    <font>
      <sz val="10"/>
      <color rgb="FF00000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sz val="11.5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.5"/>
      <color rgb="FF000000"/>
      <name val="맑은 고딕"/>
      <family val="3"/>
      <charset val="129"/>
      <scheme val="major"/>
    </font>
    <font>
      <sz val="8.5"/>
      <color rgb="FF000000"/>
      <name val="맑은 고딕"/>
      <family val="3"/>
      <charset val="129"/>
      <scheme val="major"/>
    </font>
    <font>
      <sz val="8.5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000000"/>
      <name val="바탕체"/>
      <family val="1"/>
      <charset val="129"/>
    </font>
    <font>
      <b/>
      <sz val="8"/>
      <color rgb="FF000000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rgb="FF000000"/>
      <name val="Times New Roman"/>
      <family val="1"/>
    </font>
    <font>
      <sz val="8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inor"/>
    </font>
    <font>
      <sz val="18"/>
      <color rgb="FFFF000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b/>
      <sz val="10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name val="Times New Roman"/>
      <family val="1"/>
    </font>
    <font>
      <sz val="10"/>
      <color rgb="FF000000"/>
      <name val="맑은 고딕"/>
      <family val="1"/>
      <charset val="129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0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9" fillId="0" borderId="0"/>
    <xf numFmtId="0" fontId="17" fillId="0" borderId="0">
      <alignment vertical="center"/>
    </xf>
    <xf numFmtId="41" fontId="30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1" fillId="0" borderId="0" xfId="1" applyAlignment="1">
      <alignment horizontal="left" vertical="top"/>
    </xf>
    <xf numFmtId="0" fontId="8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top"/>
    </xf>
    <xf numFmtId="0" fontId="1" fillId="0" borderId="0" xfId="1" applyAlignment="1">
      <alignment horizontal="center" vertical="top"/>
    </xf>
    <xf numFmtId="41" fontId="8" fillId="0" borderId="1" xfId="3" applyFont="1" applyFill="1" applyBorder="1" applyAlignment="1">
      <alignment horizontal="center" vertical="center" wrapText="1"/>
    </xf>
    <xf numFmtId="41" fontId="8" fillId="0" borderId="1" xfId="3" applyFont="1" applyFill="1" applyBorder="1" applyAlignment="1">
      <alignment horizontal="center" vertical="center" shrinkToFit="1"/>
    </xf>
    <xf numFmtId="0" fontId="4" fillId="0" borderId="0" xfId="1" applyFont="1" applyAlignment="1">
      <alignment horizontal="right" vertical="center" wrapText="1"/>
    </xf>
    <xf numFmtId="41" fontId="16" fillId="0" borderId="0" xfId="1" applyNumberFormat="1" applyFont="1" applyAlignment="1">
      <alignment horizontal="right" vertical="top"/>
    </xf>
    <xf numFmtId="0" fontId="18" fillId="0" borderId="0" xfId="1" applyFont="1" applyAlignment="1">
      <alignment horizontal="left" vertical="top"/>
    </xf>
    <xf numFmtId="0" fontId="8" fillId="0" borderId="1" xfId="1" applyFont="1" applyBorder="1" applyAlignment="1">
      <alignment horizontal="left" vertical="center" wrapText="1"/>
    </xf>
    <xf numFmtId="41" fontId="8" fillId="0" borderId="10" xfId="3" applyFont="1" applyFill="1" applyBorder="1" applyAlignment="1">
      <alignment horizontal="center" vertical="center" wrapText="1"/>
    </xf>
    <xf numFmtId="41" fontId="20" fillId="0" borderId="0" xfId="1" applyNumberFormat="1" applyFont="1" applyAlignment="1">
      <alignment horizontal="right" vertical="top"/>
    </xf>
    <xf numFmtId="41" fontId="19" fillId="0" borderId="1" xfId="3" applyFont="1" applyFill="1" applyBorder="1" applyAlignment="1">
      <alignment horizontal="center" vertical="center" wrapText="1"/>
    </xf>
    <xf numFmtId="41" fontId="21" fillId="0" borderId="0" xfId="1" applyNumberFormat="1" applyFont="1" applyAlignment="1">
      <alignment horizontal="center" vertical="top"/>
    </xf>
    <xf numFmtId="0" fontId="22" fillId="0" borderId="0" xfId="1" applyFont="1" applyAlignment="1">
      <alignment horizontal="left" vertical="top"/>
    </xf>
    <xf numFmtId="0" fontId="23" fillId="0" borderId="0" xfId="1" applyFont="1" applyAlignment="1">
      <alignment horizontal="left" vertical="top"/>
    </xf>
    <xf numFmtId="0" fontId="8" fillId="4" borderId="1" xfId="1" applyFont="1" applyFill="1" applyBorder="1" applyAlignment="1">
      <alignment horizontal="left" vertical="center" wrapText="1"/>
    </xf>
    <xf numFmtId="41" fontId="8" fillId="4" borderId="1" xfId="3" applyFont="1" applyFill="1" applyBorder="1" applyAlignment="1">
      <alignment horizontal="center" vertical="center" wrapText="1"/>
    </xf>
    <xf numFmtId="0" fontId="16" fillId="0" borderId="0" xfId="1" applyFont="1" applyAlignment="1">
      <alignment horizontal="left" vertical="top"/>
    </xf>
    <xf numFmtId="0" fontId="1" fillId="4" borderId="0" xfId="1" applyFill="1" applyAlignment="1">
      <alignment horizontal="left" vertical="top"/>
    </xf>
    <xf numFmtId="41" fontId="16" fillId="0" borderId="1" xfId="3" applyFont="1" applyFill="1" applyBorder="1" applyAlignment="1">
      <alignment horizontal="left" vertical="top"/>
    </xf>
    <xf numFmtId="0" fontId="26" fillId="0" borderId="0" xfId="1" applyFont="1" applyAlignment="1">
      <alignment horizontal="left" vertical="top"/>
    </xf>
    <xf numFmtId="41" fontId="8" fillId="0" borderId="1" xfId="3" applyFont="1" applyFill="1" applyBorder="1" applyAlignment="1">
      <alignment horizontal="left" vertical="center" wrapText="1"/>
    </xf>
    <xf numFmtId="41" fontId="7" fillId="0" borderId="0" xfId="3" applyFont="1" applyFill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21" fillId="0" borderId="0" xfId="5" applyFont="1"/>
    <xf numFmtId="178" fontId="21" fillId="0" borderId="0" xfId="5" applyNumberFormat="1" applyFont="1" applyAlignment="1">
      <alignment horizontal="right" wrapText="1"/>
    </xf>
    <xf numFmtId="177" fontId="21" fillId="0" borderId="0" xfId="5" applyNumberFormat="1" applyFont="1" applyAlignment="1">
      <alignment wrapText="1"/>
    </xf>
    <xf numFmtId="0" fontId="8" fillId="6" borderId="1" xfId="1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 wrapText="1"/>
    </xf>
    <xf numFmtId="41" fontId="8" fillId="0" borderId="1" xfId="9" applyFont="1" applyFill="1" applyBorder="1" applyAlignment="1">
      <alignment horizontal="center" vertical="center" wrapText="1"/>
    </xf>
    <xf numFmtId="1" fontId="8" fillId="4" borderId="1" xfId="1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41" fontId="21" fillId="0" borderId="0" xfId="9" applyFont="1" applyAlignment="1">
      <alignment horizontal="right" wrapText="1"/>
    </xf>
    <xf numFmtId="178" fontId="21" fillId="2" borderId="0" xfId="5" applyNumberFormat="1" applyFont="1" applyFill="1" applyAlignment="1">
      <alignment horizontal="left" wrapText="1"/>
    </xf>
    <xf numFmtId="177" fontId="21" fillId="2" borderId="0" xfId="5" applyNumberFormat="1" applyFont="1" applyFill="1" applyAlignment="1">
      <alignment horizontal="left" wrapText="1"/>
    </xf>
    <xf numFmtId="0" fontId="21" fillId="2" borderId="0" xfId="5" applyFont="1" applyFill="1"/>
    <xf numFmtId="0" fontId="31" fillId="2" borderId="5" xfId="1" applyFont="1" applyFill="1" applyBorder="1" applyAlignment="1">
      <alignment vertical="top"/>
    </xf>
    <xf numFmtId="41" fontId="31" fillId="2" borderId="5" xfId="9" applyFont="1" applyFill="1" applyBorder="1" applyAlignment="1">
      <alignment vertical="top"/>
    </xf>
    <xf numFmtId="178" fontId="21" fillId="2" borderId="5" xfId="5" applyNumberFormat="1" applyFont="1" applyFill="1" applyBorder="1" applyAlignment="1">
      <alignment horizontal="left" wrapText="1"/>
    </xf>
    <xf numFmtId="177" fontId="21" fillId="2" borderId="5" xfId="5" applyNumberFormat="1" applyFont="1" applyFill="1" applyBorder="1" applyAlignment="1">
      <alignment horizontal="left" wrapText="1"/>
    </xf>
    <xf numFmtId="0" fontId="32" fillId="8" borderId="1" xfId="0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3" fillId="0" borderId="14" xfId="1" applyFont="1" applyBorder="1" applyAlignment="1">
      <alignment horizontal="center" vertical="top"/>
    </xf>
    <xf numFmtId="41" fontId="34" fillId="0" borderId="15" xfId="9" applyFont="1" applyBorder="1" applyAlignment="1">
      <alignment horizontal="left" vertical="top"/>
    </xf>
    <xf numFmtId="0" fontId="33" fillId="0" borderId="16" xfId="1" applyFont="1" applyBorder="1" applyAlignment="1">
      <alignment horizontal="center" vertical="top"/>
    </xf>
    <xf numFmtId="0" fontId="35" fillId="0" borderId="17" xfId="1" applyFont="1" applyBorder="1" applyAlignment="1">
      <alignment horizontal="center" vertical="top"/>
    </xf>
    <xf numFmtId="41" fontId="1" fillId="0" borderId="17" xfId="9" applyFont="1" applyBorder="1" applyAlignment="1">
      <alignment horizontal="left" vertical="top"/>
    </xf>
    <xf numFmtId="0" fontId="0" fillId="0" borderId="0" xfId="0" applyAlignment="1"/>
    <xf numFmtId="0" fontId="32" fillId="8" borderId="4" xfId="0" applyFont="1" applyFill="1" applyBorder="1" applyAlignment="1">
      <alignment horizontal="center" vertical="center"/>
    </xf>
    <xf numFmtId="0" fontId="31" fillId="2" borderId="1" xfId="1" applyFont="1" applyFill="1" applyBorder="1" applyAlignment="1">
      <alignment vertical="top"/>
    </xf>
    <xf numFmtId="41" fontId="31" fillId="2" borderId="1" xfId="9" applyFont="1" applyFill="1" applyBorder="1" applyAlignment="1">
      <alignment vertical="top"/>
    </xf>
    <xf numFmtId="178" fontId="21" fillId="2" borderId="1" xfId="5" applyNumberFormat="1" applyFont="1" applyFill="1" applyBorder="1" applyAlignment="1">
      <alignment horizontal="left" wrapText="1"/>
    </xf>
    <xf numFmtId="177" fontId="21" fillId="2" borderId="1" xfId="5" applyNumberFormat="1" applyFont="1" applyFill="1" applyBorder="1" applyAlignment="1">
      <alignment horizontal="left" wrapText="1"/>
    </xf>
    <xf numFmtId="0" fontId="0" fillId="0" borderId="1" xfId="0" applyBorder="1" applyAlignment="1"/>
    <xf numFmtId="0" fontId="36" fillId="0" borderId="1" xfId="0" applyFont="1" applyBorder="1" applyAlignment="1"/>
    <xf numFmtId="41" fontId="0" fillId="0" borderId="1" xfId="9" applyFont="1" applyBorder="1" applyAlignment="1"/>
    <xf numFmtId="0" fontId="8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41" fontId="8" fillId="0" borderId="1" xfId="3" applyFont="1" applyFill="1" applyBorder="1" applyAlignment="1">
      <alignment horizontal="left" vertical="center" wrapText="1"/>
    </xf>
    <xf numFmtId="41" fontId="8" fillId="0" borderId="1" xfId="3" applyFont="1" applyFill="1" applyBorder="1" applyAlignment="1">
      <alignment horizontal="center" vertical="center" wrapText="1"/>
    </xf>
    <xf numFmtId="41" fontId="25" fillId="0" borderId="1" xfId="3" applyFont="1" applyFill="1" applyBorder="1" applyAlignment="1">
      <alignment horizontal="right" vertical="center" wrapText="1"/>
    </xf>
    <xf numFmtId="0" fontId="8" fillId="0" borderId="5" xfId="1" applyFont="1" applyBorder="1" applyAlignment="1">
      <alignment horizontal="center" vertical="center" wrapText="1"/>
    </xf>
    <xf numFmtId="41" fontId="8" fillId="0" borderId="5" xfId="1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177" fontId="27" fillId="0" borderId="5" xfId="1" applyNumberFormat="1" applyFont="1" applyBorder="1" applyAlignment="1">
      <alignment horizontal="center" vertical="center" wrapText="1"/>
    </xf>
    <xf numFmtId="41" fontId="8" fillId="0" borderId="2" xfId="3" applyFont="1" applyFill="1" applyBorder="1" applyAlignment="1">
      <alignment horizontal="center" vertical="center" wrapText="1"/>
    </xf>
    <xf numFmtId="41" fontId="8" fillId="0" borderId="4" xfId="3" applyFont="1" applyFill="1" applyBorder="1" applyAlignment="1">
      <alignment horizontal="center" vertical="center" wrapText="1"/>
    </xf>
    <xf numFmtId="41" fontId="8" fillId="0" borderId="1" xfId="3" applyFont="1" applyFill="1" applyBorder="1" applyAlignment="1">
      <alignment horizontal="right" vertical="center" wrapText="1"/>
    </xf>
    <xf numFmtId="41" fontId="8" fillId="0" borderId="1" xfId="9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 wrapText="1"/>
    </xf>
    <xf numFmtId="41" fontId="16" fillId="0" borderId="1" xfId="3" applyFont="1" applyFill="1" applyBorder="1" applyAlignment="1">
      <alignment horizontal="left" vertical="center" wrapText="1"/>
    </xf>
    <xf numFmtId="41" fontId="16" fillId="0" borderId="1" xfId="3" applyFont="1" applyFill="1" applyBorder="1" applyAlignment="1">
      <alignment horizontal="center" vertical="top"/>
    </xf>
    <xf numFmtId="41" fontId="16" fillId="0" borderId="2" xfId="3" applyFont="1" applyFill="1" applyBorder="1" applyAlignment="1">
      <alignment horizontal="center" vertical="top"/>
    </xf>
    <xf numFmtId="41" fontId="16" fillId="0" borderId="4" xfId="3" applyFont="1" applyFill="1" applyBorder="1" applyAlignment="1">
      <alignment horizontal="center" vertical="top"/>
    </xf>
    <xf numFmtId="0" fontId="8" fillId="4" borderId="2" xfId="1" applyFont="1" applyFill="1" applyBorder="1" applyAlignment="1">
      <alignment horizontal="left" vertical="center" wrapText="1"/>
    </xf>
    <xf numFmtId="0" fontId="8" fillId="4" borderId="3" xfId="1" applyFont="1" applyFill="1" applyBorder="1" applyAlignment="1">
      <alignment horizontal="left" vertical="center" wrapText="1"/>
    </xf>
    <xf numFmtId="0" fontId="8" fillId="4" borderId="4" xfId="1" applyFont="1" applyFill="1" applyBorder="1" applyAlignment="1">
      <alignment horizontal="left" vertical="center" wrapText="1"/>
    </xf>
    <xf numFmtId="41" fontId="8" fillId="4" borderId="2" xfId="3" applyFont="1" applyFill="1" applyBorder="1" applyAlignment="1">
      <alignment horizontal="center" vertical="center" wrapText="1"/>
    </xf>
    <xf numFmtId="41" fontId="8" fillId="4" borderId="4" xfId="3" applyFont="1" applyFill="1" applyBorder="1" applyAlignment="1">
      <alignment horizontal="center" vertical="center" wrapText="1"/>
    </xf>
    <xf numFmtId="41" fontId="1" fillId="0" borderId="4" xfId="3" applyFont="1" applyFill="1" applyBorder="1" applyAlignment="1">
      <alignment horizontal="left" vertical="top"/>
    </xf>
    <xf numFmtId="0" fontId="8" fillId="0" borderId="2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41" fontId="19" fillId="0" borderId="2" xfId="3" applyFont="1" applyFill="1" applyBorder="1" applyAlignment="1">
      <alignment horizontal="center" vertical="center" wrapText="1"/>
    </xf>
    <xf numFmtId="41" fontId="24" fillId="0" borderId="4" xfId="3" applyFont="1" applyFill="1" applyBorder="1" applyAlignment="1">
      <alignment horizontal="left" vertical="top"/>
    </xf>
    <xf numFmtId="41" fontId="25" fillId="0" borderId="2" xfId="3" applyFont="1" applyFill="1" applyBorder="1" applyAlignment="1">
      <alignment horizontal="center" vertical="center" wrapText="1"/>
    </xf>
    <xf numFmtId="41" fontId="25" fillId="0" borderId="4" xfId="3" applyFont="1" applyFill="1" applyBorder="1" applyAlignment="1">
      <alignment horizontal="center" vertical="center" wrapText="1"/>
    </xf>
    <xf numFmtId="41" fontId="19" fillId="0" borderId="2" xfId="3" applyFont="1" applyFill="1" applyBorder="1" applyAlignment="1">
      <alignment horizontal="right" vertical="center" shrinkToFit="1"/>
    </xf>
    <xf numFmtId="41" fontId="19" fillId="0" borderId="4" xfId="3" applyFont="1" applyFill="1" applyBorder="1" applyAlignment="1">
      <alignment horizontal="right" vertical="center" shrinkToFit="1"/>
    </xf>
    <xf numFmtId="0" fontId="19" fillId="0" borderId="2" xfId="1" applyFont="1" applyBorder="1" applyAlignment="1">
      <alignment vertical="center" wrapText="1"/>
    </xf>
    <xf numFmtId="0" fontId="19" fillId="0" borderId="3" xfId="1" applyFont="1" applyBorder="1" applyAlignment="1">
      <alignment vertical="center" wrapText="1"/>
    </xf>
    <xf numFmtId="0" fontId="19" fillId="0" borderId="4" xfId="1" applyFont="1" applyBorder="1" applyAlignment="1">
      <alignment vertical="center" wrapText="1"/>
    </xf>
    <xf numFmtId="41" fontId="19" fillId="0" borderId="4" xfId="3" applyFont="1" applyFill="1" applyBorder="1" applyAlignment="1">
      <alignment horizontal="center" vertical="center" wrapText="1"/>
    </xf>
    <xf numFmtId="41" fontId="19" fillId="0" borderId="1" xfId="3" applyFont="1" applyFill="1" applyBorder="1" applyAlignment="1">
      <alignment horizontal="center" vertical="center" shrinkToFit="1"/>
    </xf>
    <xf numFmtId="41" fontId="19" fillId="0" borderId="2" xfId="3" applyFont="1" applyFill="1" applyBorder="1" applyAlignment="1">
      <alignment horizontal="center" vertical="center" shrinkToFit="1"/>
    </xf>
    <xf numFmtId="41" fontId="19" fillId="0" borderId="4" xfId="3" applyFont="1" applyFill="1" applyBorder="1" applyAlignment="1">
      <alignment horizontal="center" vertical="center" shrinkToFit="1"/>
    </xf>
    <xf numFmtId="0" fontId="19" fillId="0" borderId="1" xfId="1" applyFont="1" applyBorder="1" applyAlignment="1">
      <alignment horizontal="left" vertical="center" wrapText="1"/>
    </xf>
    <xf numFmtId="41" fontId="19" fillId="0" borderId="1" xfId="3" applyFont="1" applyFill="1" applyBorder="1" applyAlignment="1">
      <alignment horizontal="center" vertical="center" wrapText="1"/>
    </xf>
    <xf numFmtId="41" fontId="8" fillId="0" borderId="2" xfId="3" applyFont="1" applyFill="1" applyBorder="1" applyAlignment="1">
      <alignment horizontal="center" vertical="center" shrinkToFit="1"/>
    </xf>
    <xf numFmtId="41" fontId="8" fillId="0" borderId="4" xfId="3" applyFont="1" applyFill="1" applyBorder="1" applyAlignment="1">
      <alignment horizontal="center" vertical="center" shrinkToFit="1"/>
    </xf>
    <xf numFmtId="41" fontId="8" fillId="0" borderId="1" xfId="3" applyFont="1" applyFill="1" applyBorder="1" applyAlignment="1">
      <alignment horizontal="center" vertical="center" shrinkToFit="1"/>
    </xf>
    <xf numFmtId="41" fontId="25" fillId="4" borderId="2" xfId="3" applyFont="1" applyFill="1" applyBorder="1" applyAlignment="1">
      <alignment horizontal="center" vertical="center" shrinkToFit="1"/>
    </xf>
    <xf numFmtId="41" fontId="25" fillId="4" borderId="4" xfId="3" applyFont="1" applyFill="1" applyBorder="1" applyAlignment="1">
      <alignment horizontal="center" vertical="center" shrinkToFit="1"/>
    </xf>
    <xf numFmtId="41" fontId="8" fillId="4" borderId="1" xfId="3" applyFont="1" applyFill="1" applyBorder="1" applyAlignment="1">
      <alignment horizontal="center" vertical="center" shrinkToFit="1"/>
    </xf>
    <xf numFmtId="0" fontId="8" fillId="5" borderId="2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 wrapText="1"/>
    </xf>
    <xf numFmtId="41" fontId="8" fillId="5" borderId="2" xfId="3" applyFont="1" applyFill="1" applyBorder="1" applyAlignment="1">
      <alignment horizontal="center" vertical="center" shrinkToFit="1"/>
    </xf>
    <xf numFmtId="41" fontId="8" fillId="5" borderId="4" xfId="3" applyFont="1" applyFill="1" applyBorder="1" applyAlignment="1">
      <alignment horizontal="center" vertical="center" shrinkToFit="1"/>
    </xf>
    <xf numFmtId="0" fontId="4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1" fontId="8" fillId="4" borderId="5" xfId="1" applyNumberFormat="1" applyFont="1" applyFill="1" applyBorder="1" applyAlignment="1">
      <alignment horizontal="center" vertical="center"/>
    </xf>
    <xf numFmtId="1" fontId="8" fillId="4" borderId="7" xfId="1" applyNumberFormat="1" applyFont="1" applyFill="1" applyBorder="1" applyAlignment="1">
      <alignment horizontal="center" vertical="center"/>
    </xf>
    <xf numFmtId="1" fontId="8" fillId="4" borderId="10" xfId="1" applyNumberFormat="1" applyFont="1" applyFill="1" applyBorder="1" applyAlignment="1">
      <alignment horizontal="center" vertical="center"/>
    </xf>
    <xf numFmtId="176" fontId="8" fillId="0" borderId="2" xfId="1" applyNumberFormat="1" applyFont="1" applyBorder="1" applyAlignment="1">
      <alignment horizontal="center" vertical="center" wrapText="1"/>
    </xf>
    <xf numFmtId="176" fontId="8" fillId="0" borderId="3" xfId="1" applyNumberFormat="1" applyFont="1" applyBorder="1" applyAlignment="1">
      <alignment horizontal="center" vertical="center" wrapText="1"/>
    </xf>
    <xf numFmtId="176" fontId="8" fillId="0" borderId="4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top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41" fontId="14" fillId="7" borderId="2" xfId="2" applyFont="1" applyFill="1" applyBorder="1" applyAlignment="1">
      <alignment horizontal="center" vertical="center" wrapText="1"/>
    </xf>
    <xf numFmtId="41" fontId="14" fillId="7" borderId="3" xfId="2" applyFont="1" applyFill="1" applyBorder="1" applyAlignment="1">
      <alignment horizontal="center" vertical="center" wrapText="1"/>
    </xf>
    <xf numFmtId="41" fontId="14" fillId="7" borderId="4" xfId="2" applyFont="1" applyFill="1" applyBorder="1" applyAlignment="1">
      <alignment horizontal="center" vertical="center" wrapText="1"/>
    </xf>
    <xf numFmtId="176" fontId="15" fillId="0" borderId="2" xfId="2" applyNumberFormat="1" applyFont="1" applyFill="1" applyBorder="1" applyAlignment="1">
      <alignment horizontal="center" vertical="center" wrapText="1"/>
    </xf>
    <xf numFmtId="176" fontId="15" fillId="0" borderId="3" xfId="2" applyNumberFormat="1" applyFont="1" applyFill="1" applyBorder="1" applyAlignment="1">
      <alignment horizontal="center" vertical="center" wrapText="1"/>
    </xf>
    <xf numFmtId="176" fontId="15" fillId="0" borderId="4" xfId="2" applyNumberFormat="1" applyFont="1" applyFill="1" applyBorder="1" applyAlignment="1">
      <alignment horizontal="center" vertical="center" wrapText="1"/>
    </xf>
  </cellXfs>
  <cellStyles count="10">
    <cellStyle name="쉼표 [0]" xfId="9" builtinId="6"/>
    <cellStyle name="쉼표 [0] 2" xfId="2" xr:uid="{741793F2-8750-4F8C-8D76-037C4126CF5E}"/>
    <cellStyle name="쉼표 [0] 3" xfId="3" xr:uid="{0C3CEAEA-D829-4E20-93B8-F7495078047D}"/>
    <cellStyle name="표준" xfId="0" builtinId="0"/>
    <cellStyle name="표준 2" xfId="8" xr:uid="{49BE24AE-B42A-4263-B7F6-9137426316DD}"/>
    <cellStyle name="표준 2 2" xfId="1" xr:uid="{F2AF97BF-34C5-49B8-BE84-91EE85FE3DB8}"/>
    <cellStyle name="표준 2 3 2" xfId="6" xr:uid="{DF92FA6B-DFA4-46B3-9351-AFC0CE51DEA9}"/>
    <cellStyle name="표준 2 4 2" xfId="7" xr:uid="{17E930D5-8307-4611-891C-697DBD0A59BF}"/>
    <cellStyle name="표준 3" xfId="5" xr:uid="{76AAFAA2-6300-4417-BFE7-0DCC82301E3A}"/>
    <cellStyle name="표준 42" xfId="4" xr:uid="{46004B9E-5A5A-4017-87E4-90A997EE44CD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BA01-27CA-41D7-B416-0183670216E7}">
  <sheetPr>
    <pageSetUpPr fitToPage="1"/>
  </sheetPr>
  <dimension ref="B2:AA30"/>
  <sheetViews>
    <sheetView showGridLines="0" tabSelected="1" zoomScaleNormal="100" workbookViewId="0">
      <selection activeCell="U27" sqref="U27"/>
    </sheetView>
  </sheetViews>
  <sheetFormatPr defaultColWidth="10.26953125" defaultRowHeight="13" x14ac:dyDescent="0.45"/>
  <cols>
    <col min="1" max="1" width="10.26953125" style="1"/>
    <col min="2" max="2" width="4.26953125" style="1" customWidth="1"/>
    <col min="3" max="3" width="3.453125" style="1" customWidth="1"/>
    <col min="4" max="4" width="3.7265625" style="1" customWidth="1"/>
    <col min="5" max="5" width="5.7265625" style="1" customWidth="1"/>
    <col min="6" max="6" width="3" style="1" customWidth="1"/>
    <col min="7" max="7" width="21.1796875" style="1" customWidth="1"/>
    <col min="8" max="8" width="12.1796875" style="1" customWidth="1"/>
    <col min="9" max="9" width="9.453125" style="1" customWidth="1"/>
    <col min="10" max="10" width="2.81640625" style="1" customWidth="1"/>
    <col min="11" max="11" width="11.453125" style="1" customWidth="1"/>
    <col min="12" max="12" width="2.81640625" style="1" customWidth="1"/>
    <col min="13" max="13" width="8.81640625" style="1" customWidth="1"/>
    <col min="14" max="15" width="5.7265625" style="1" customWidth="1"/>
    <col min="16" max="16" width="2.81640625" style="1" customWidth="1"/>
    <col min="17" max="17" width="13.54296875" style="1" customWidth="1"/>
    <col min="18" max="18" width="10.26953125" style="1"/>
    <col min="19" max="19" width="11.1796875" style="1" bestFit="1" customWidth="1"/>
    <col min="20" max="20" width="12.26953125" style="1" bestFit="1" customWidth="1"/>
    <col min="21" max="21" width="10.26953125" style="1"/>
    <col min="22" max="22" width="26" style="1" bestFit="1" customWidth="1"/>
    <col min="23" max="23" width="10.54296875" style="1" bestFit="1" customWidth="1"/>
    <col min="24" max="16384" width="10.26953125" style="1"/>
  </cols>
  <sheetData>
    <row r="2" spans="2:27" ht="20.5" x14ac:dyDescent="0.45">
      <c r="B2" s="137" t="s">
        <v>0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</row>
    <row r="4" spans="2:27" ht="42.75" customHeight="1" x14ac:dyDescent="0.45">
      <c r="B4" s="138" t="s">
        <v>97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2:27" ht="26.65" customHeight="1" x14ac:dyDescent="0.45">
      <c r="B5" s="132" t="s">
        <v>1</v>
      </c>
      <c r="C5" s="132" t="s">
        <v>2</v>
      </c>
      <c r="D5" s="132"/>
      <c r="E5" s="132"/>
      <c r="F5" s="140" t="s">
        <v>214</v>
      </c>
      <c r="G5" s="141"/>
      <c r="H5" s="141"/>
      <c r="I5" s="141"/>
      <c r="J5" s="142" t="s">
        <v>3</v>
      </c>
      <c r="K5" s="32" t="s">
        <v>4</v>
      </c>
      <c r="L5" s="140" t="s">
        <v>5</v>
      </c>
      <c r="M5" s="143"/>
      <c r="N5" s="143"/>
      <c r="O5" s="143"/>
      <c r="P5" s="143"/>
      <c r="Q5" s="143"/>
    </row>
    <row r="6" spans="2:27" ht="26.65" customHeight="1" x14ac:dyDescent="0.45">
      <c r="B6" s="132"/>
      <c r="C6" s="132" t="s">
        <v>6</v>
      </c>
      <c r="D6" s="132"/>
      <c r="E6" s="132"/>
      <c r="F6" s="130" t="s">
        <v>215</v>
      </c>
      <c r="G6" s="139"/>
      <c r="H6" s="139"/>
      <c r="I6" s="139"/>
      <c r="J6" s="142"/>
      <c r="K6" s="32" t="s">
        <v>7</v>
      </c>
      <c r="L6" s="130" t="s">
        <v>8</v>
      </c>
      <c r="M6" s="131"/>
      <c r="N6" s="131"/>
      <c r="O6" s="2" t="s">
        <v>9</v>
      </c>
      <c r="P6" s="130" t="s">
        <v>10</v>
      </c>
      <c r="Q6" s="131"/>
    </row>
    <row r="7" spans="2:27" ht="26.65" customHeight="1" x14ac:dyDescent="0.45">
      <c r="B7" s="132"/>
      <c r="C7" s="132" t="s">
        <v>11</v>
      </c>
      <c r="D7" s="133"/>
      <c r="E7" s="133"/>
      <c r="F7" s="129" t="s">
        <v>216</v>
      </c>
      <c r="G7" s="134"/>
      <c r="H7" s="134"/>
      <c r="I7" s="134"/>
      <c r="J7" s="142"/>
      <c r="K7" s="32" t="s">
        <v>12</v>
      </c>
      <c r="L7" s="129" t="s">
        <v>42</v>
      </c>
      <c r="M7" s="134"/>
      <c r="N7" s="134"/>
      <c r="O7" s="134"/>
      <c r="P7" s="134"/>
      <c r="Q7" s="134"/>
    </row>
    <row r="8" spans="2:27" s="4" customFormat="1" ht="27" customHeight="1" x14ac:dyDescent="0.45">
      <c r="B8" s="132"/>
      <c r="C8" s="133" t="s">
        <v>13</v>
      </c>
      <c r="D8" s="133"/>
      <c r="E8" s="133"/>
      <c r="F8" s="135" t="s">
        <v>217</v>
      </c>
      <c r="G8" s="136"/>
      <c r="H8" s="136"/>
      <c r="I8" s="136"/>
      <c r="J8" s="142"/>
      <c r="K8" s="32" t="s">
        <v>14</v>
      </c>
      <c r="L8" s="130" t="s">
        <v>15</v>
      </c>
      <c r="M8" s="131"/>
      <c r="N8" s="131"/>
      <c r="O8" s="3" t="s">
        <v>16</v>
      </c>
      <c r="P8" s="130" t="s">
        <v>17</v>
      </c>
      <c r="Q8" s="131"/>
      <c r="AA8" s="36"/>
    </row>
    <row r="9" spans="2:27" s="4" customFormat="1" ht="27" customHeight="1" x14ac:dyDescent="0.45">
      <c r="B9" s="132"/>
      <c r="C9" s="144" t="s">
        <v>18</v>
      </c>
      <c r="D9" s="145"/>
      <c r="E9" s="146"/>
      <c r="F9" s="147">
        <f>L28</f>
        <v>369492.5</v>
      </c>
      <c r="G9" s="148"/>
      <c r="H9" s="148"/>
      <c r="I9" s="149"/>
      <c r="J9" s="142"/>
      <c r="K9" s="33" t="s">
        <v>19</v>
      </c>
      <c r="L9" s="130"/>
      <c r="M9" s="130"/>
      <c r="N9" s="130"/>
      <c r="O9" s="130"/>
      <c r="P9" s="130"/>
      <c r="Q9" s="130"/>
      <c r="S9" s="1"/>
      <c r="AA9" s="36"/>
    </row>
    <row r="10" spans="2:27" s="7" customFormat="1" ht="13.5" customHeight="1" thickBot="1" x14ac:dyDescent="0.5">
      <c r="B10" s="2" t="s">
        <v>20</v>
      </c>
      <c r="C10" s="2" t="s">
        <v>21</v>
      </c>
      <c r="D10" s="2" t="s">
        <v>22</v>
      </c>
      <c r="E10" s="126" t="s">
        <v>23</v>
      </c>
      <c r="F10" s="127"/>
      <c r="G10" s="127"/>
      <c r="H10" s="128"/>
      <c r="I10" s="129" t="s">
        <v>24</v>
      </c>
      <c r="J10" s="129"/>
      <c r="K10" s="5" t="s">
        <v>218</v>
      </c>
      <c r="L10" s="129" t="s">
        <v>25</v>
      </c>
      <c r="M10" s="129"/>
      <c r="N10" s="129" t="s">
        <v>26</v>
      </c>
      <c r="O10" s="129"/>
      <c r="P10" s="129"/>
      <c r="Q10" s="129"/>
      <c r="R10" s="6" t="s">
        <v>27</v>
      </c>
      <c r="S10" s="6" t="s">
        <v>28</v>
      </c>
      <c r="AA10" s="1"/>
    </row>
    <row r="11" spans="2:27" ht="13.5" customHeight="1" thickBot="1" x14ac:dyDescent="0.5">
      <c r="B11" s="123">
        <v>26</v>
      </c>
      <c r="C11" s="123">
        <v>6</v>
      </c>
      <c r="D11" s="123">
        <v>13</v>
      </c>
      <c r="E11" s="115" t="s">
        <v>100</v>
      </c>
      <c r="F11" s="116"/>
      <c r="G11" s="116"/>
      <c r="H11" s="117"/>
      <c r="I11" s="73">
        <v>34500</v>
      </c>
      <c r="J11" s="74">
        <v>36000</v>
      </c>
      <c r="K11" s="9">
        <v>21500</v>
      </c>
      <c r="L11" s="118">
        <f>I11-K11</f>
        <v>13000</v>
      </c>
      <c r="M11" s="119"/>
      <c r="N11" s="112">
        <f>COUNTIF(전체주문내역!AB:AB,"2")</f>
        <v>2</v>
      </c>
      <c r="O11" s="113"/>
      <c r="P11" s="114">
        <f>L11*N11</f>
        <v>26000</v>
      </c>
      <c r="Q11" s="114"/>
      <c r="R11" s="10">
        <v>2</v>
      </c>
      <c r="S11" s="11">
        <f>N11*2</f>
        <v>4</v>
      </c>
      <c r="T11" s="120" t="s">
        <v>40</v>
      </c>
      <c r="V11" s="48" t="s">
        <v>84</v>
      </c>
      <c r="W11" s="49">
        <f>I11*N11</f>
        <v>69000</v>
      </c>
    </row>
    <row r="12" spans="2:27" s="12" customFormat="1" ht="13.15" customHeight="1" thickBot="1" x14ac:dyDescent="0.5">
      <c r="B12" s="124"/>
      <c r="C12" s="124"/>
      <c r="D12" s="124"/>
      <c r="E12" s="115" t="s">
        <v>101</v>
      </c>
      <c r="F12" s="116"/>
      <c r="G12" s="116"/>
      <c r="H12" s="117"/>
      <c r="I12" s="73">
        <v>83500</v>
      </c>
      <c r="J12" s="74">
        <v>70000</v>
      </c>
      <c r="K12" s="8">
        <v>50100</v>
      </c>
      <c r="L12" s="118">
        <f t="shared" ref="L12:L13" si="0">I12-K12</f>
        <v>33400</v>
      </c>
      <c r="M12" s="119"/>
      <c r="N12" s="112">
        <f>COUNTIF(전체주문내역!AB:AB,"5")</f>
        <v>3</v>
      </c>
      <c r="O12" s="113"/>
      <c r="P12" s="114">
        <f t="shared" ref="P12:P14" si="1">L12*N12</f>
        <v>100200</v>
      </c>
      <c r="Q12" s="114"/>
      <c r="R12" s="10">
        <v>3</v>
      </c>
      <c r="S12" s="11">
        <f>N12*5</f>
        <v>15</v>
      </c>
      <c r="T12" s="121"/>
      <c r="V12" s="50" t="s">
        <v>85</v>
      </c>
      <c r="W12" s="49">
        <f t="shared" ref="W12:W14" si="2">I12*N12</f>
        <v>250500</v>
      </c>
    </row>
    <row r="13" spans="2:27" ht="13.15" customHeight="1" thickBot="1" x14ac:dyDescent="0.5">
      <c r="B13" s="124"/>
      <c r="C13" s="124"/>
      <c r="D13" s="124"/>
      <c r="E13" s="115" t="s">
        <v>102</v>
      </c>
      <c r="F13" s="116"/>
      <c r="G13" s="116"/>
      <c r="H13" s="117"/>
      <c r="I13" s="73">
        <v>114000</v>
      </c>
      <c r="J13" s="74">
        <v>102000</v>
      </c>
      <c r="K13" s="8">
        <v>68400</v>
      </c>
      <c r="L13" s="118">
        <f t="shared" si="0"/>
        <v>45600</v>
      </c>
      <c r="M13" s="119"/>
      <c r="N13" s="112">
        <f>COUNTIF(전체주문내역!AB:AB,"7")</f>
        <v>2</v>
      </c>
      <c r="O13" s="113"/>
      <c r="P13" s="114">
        <f t="shared" si="1"/>
        <v>91200</v>
      </c>
      <c r="Q13" s="114"/>
      <c r="R13" s="10">
        <v>2</v>
      </c>
      <c r="S13" s="11">
        <f>N13*7</f>
        <v>14</v>
      </c>
      <c r="T13" s="121"/>
      <c r="V13" s="50" t="s">
        <v>86</v>
      </c>
      <c r="W13" s="49">
        <f t="shared" si="2"/>
        <v>228000</v>
      </c>
    </row>
    <row r="14" spans="2:27" ht="13.15" customHeight="1" thickBot="1" x14ac:dyDescent="0.5">
      <c r="B14" s="125"/>
      <c r="C14" s="125"/>
      <c r="D14" s="125"/>
      <c r="E14" s="115" t="s">
        <v>103</v>
      </c>
      <c r="F14" s="116"/>
      <c r="G14" s="116"/>
      <c r="H14" s="117"/>
      <c r="I14" s="73">
        <v>160000</v>
      </c>
      <c r="J14" s="74">
        <v>132000</v>
      </c>
      <c r="K14" s="9">
        <v>98000</v>
      </c>
      <c r="L14" s="118">
        <f>I14-K14</f>
        <v>62000</v>
      </c>
      <c r="M14" s="119"/>
      <c r="N14" s="112">
        <f>COUNTIF(전체주문내역!AB:AB,"10")</f>
        <v>3</v>
      </c>
      <c r="O14" s="113"/>
      <c r="P14" s="114">
        <f t="shared" si="1"/>
        <v>186000</v>
      </c>
      <c r="Q14" s="114"/>
      <c r="R14" s="10">
        <v>3</v>
      </c>
      <c r="S14" s="11">
        <f>N14*10</f>
        <v>30</v>
      </c>
      <c r="T14" s="121"/>
      <c r="V14" s="50" t="s">
        <v>87</v>
      </c>
      <c r="W14" s="49">
        <f t="shared" si="2"/>
        <v>480000</v>
      </c>
    </row>
    <row r="15" spans="2:27" ht="13.15" customHeight="1" thickBot="1" x14ac:dyDescent="0.5">
      <c r="B15" s="35"/>
      <c r="C15" s="35"/>
      <c r="D15" s="35"/>
      <c r="E15" s="115"/>
      <c r="F15" s="116"/>
      <c r="G15" s="116"/>
      <c r="H15" s="117"/>
      <c r="I15" s="73"/>
      <c r="J15" s="74"/>
      <c r="K15" s="8"/>
      <c r="L15" s="118"/>
      <c r="M15" s="119"/>
      <c r="N15" s="112"/>
      <c r="O15" s="113"/>
      <c r="P15" s="114"/>
      <c r="Q15" s="114"/>
      <c r="R15" s="15">
        <f>SUM(R11:R14)</f>
        <v>10</v>
      </c>
      <c r="S15" s="15">
        <f>SUM(S11:S14)</f>
        <v>63</v>
      </c>
      <c r="T15" s="122"/>
      <c r="V15" s="51" t="s">
        <v>88</v>
      </c>
      <c r="W15" s="52">
        <f>SUM(W11:W14)</f>
        <v>1027500</v>
      </c>
    </row>
    <row r="16" spans="2:27" ht="13.15" customHeight="1" thickBot="1" x14ac:dyDescent="0.5">
      <c r="B16" s="13"/>
      <c r="C16" s="13"/>
      <c r="D16" s="13"/>
      <c r="E16" s="65"/>
      <c r="F16" s="65"/>
      <c r="G16" s="65"/>
      <c r="H16" s="65"/>
      <c r="I16" s="67"/>
      <c r="J16" s="67"/>
      <c r="K16" s="14"/>
      <c r="L16" s="111"/>
      <c r="M16" s="111"/>
      <c r="N16" s="67"/>
      <c r="O16" s="67"/>
      <c r="P16" s="111"/>
      <c r="Q16" s="111"/>
      <c r="V16" s="51" t="s">
        <v>89</v>
      </c>
      <c r="W16" s="52">
        <f>W15-SUM(전체주문내역!AE:AE)</f>
        <v>0</v>
      </c>
    </row>
    <row r="17" spans="2:27" ht="13.15" customHeight="1" thickBot="1" x14ac:dyDescent="0.5">
      <c r="B17" s="13"/>
      <c r="C17" s="13"/>
      <c r="D17" s="13"/>
      <c r="E17" s="107"/>
      <c r="F17" s="107"/>
      <c r="G17" s="107"/>
      <c r="H17" s="107"/>
      <c r="I17" s="108"/>
      <c r="J17" s="108"/>
      <c r="K17" s="16"/>
      <c r="L17" s="104"/>
      <c r="M17" s="104"/>
      <c r="N17" s="94"/>
      <c r="O17" s="103"/>
      <c r="P17" s="109"/>
      <c r="Q17" s="110"/>
      <c r="R17" s="18" t="s">
        <v>29</v>
      </c>
      <c r="S17" s="17"/>
      <c r="AA17" s="22"/>
    </row>
    <row r="18" spans="2:27" ht="13.15" customHeight="1" thickBot="1" x14ac:dyDescent="0.5">
      <c r="B18" s="13"/>
      <c r="C18" s="13"/>
      <c r="D18" s="13"/>
      <c r="E18" s="91"/>
      <c r="F18" s="92"/>
      <c r="G18" s="92"/>
      <c r="H18" s="93"/>
      <c r="I18" s="73"/>
      <c r="J18" s="74"/>
      <c r="K18" s="8"/>
      <c r="L18" s="111"/>
      <c r="M18" s="111"/>
      <c r="N18" s="94"/>
      <c r="O18" s="103"/>
      <c r="P18" s="98"/>
      <c r="Q18" s="99"/>
      <c r="R18" s="19" t="s">
        <v>39</v>
      </c>
      <c r="S18" s="17"/>
      <c r="V18" s="51" t="s">
        <v>90</v>
      </c>
      <c r="W18" s="52">
        <f>W15*3.3%</f>
        <v>33907.5</v>
      </c>
    </row>
    <row r="19" spans="2:27" ht="13.15" customHeight="1" x14ac:dyDescent="0.45">
      <c r="B19" s="13"/>
      <c r="C19" s="13"/>
      <c r="D19" s="13"/>
      <c r="E19" s="91" t="s">
        <v>104</v>
      </c>
      <c r="F19" s="92"/>
      <c r="G19" s="92"/>
      <c r="H19" s="93"/>
      <c r="I19" s="94"/>
      <c r="J19" s="103"/>
      <c r="K19" s="16"/>
      <c r="L19" s="105"/>
      <c r="M19" s="106"/>
      <c r="N19" s="94">
        <f>N13+(N14*2)</f>
        <v>8</v>
      </c>
      <c r="O19" s="103"/>
      <c r="P19" s="98" t="s">
        <v>30</v>
      </c>
      <c r="Q19" s="99"/>
      <c r="R19" s="22"/>
      <c r="S19" s="17"/>
    </row>
    <row r="20" spans="2:27" ht="13.15" customHeight="1" x14ac:dyDescent="0.45">
      <c r="B20" s="13"/>
      <c r="C20" s="13"/>
      <c r="D20" s="13"/>
      <c r="E20" s="91" t="s">
        <v>31</v>
      </c>
      <c r="F20" s="92"/>
      <c r="G20" s="92"/>
      <c r="H20" s="93"/>
      <c r="I20" s="94"/>
      <c r="J20" s="103"/>
      <c r="K20" s="16"/>
      <c r="L20" s="105"/>
      <c r="M20" s="106"/>
      <c r="N20" s="94">
        <v>3</v>
      </c>
      <c r="O20" s="103"/>
      <c r="P20" s="98" t="s">
        <v>30</v>
      </c>
      <c r="Q20" s="99"/>
      <c r="S20" s="17"/>
    </row>
    <row r="21" spans="2:27" ht="13.15" customHeight="1" x14ac:dyDescent="0.45">
      <c r="B21" s="13"/>
      <c r="C21" s="13"/>
      <c r="D21" s="13"/>
      <c r="E21" s="91" t="s">
        <v>41</v>
      </c>
      <c r="F21" s="92"/>
      <c r="G21" s="92"/>
      <c r="H21" s="93"/>
      <c r="I21" s="73"/>
      <c r="J21" s="74"/>
      <c r="K21" s="16">
        <f>3000*N21</f>
        <v>24000</v>
      </c>
      <c r="L21" s="94"/>
      <c r="M21" s="95"/>
      <c r="N21" s="96">
        <f>SUM(N12:O14)</f>
        <v>8</v>
      </c>
      <c r="O21" s="97"/>
      <c r="P21" s="98" t="s">
        <v>30</v>
      </c>
      <c r="Q21" s="99"/>
      <c r="R21" s="18" t="s">
        <v>37</v>
      </c>
      <c r="S21" s="17"/>
    </row>
    <row r="22" spans="2:27" ht="13.15" customHeight="1" x14ac:dyDescent="0.45">
      <c r="B22" s="13"/>
      <c r="C22" s="13"/>
      <c r="D22" s="13"/>
      <c r="E22" s="100"/>
      <c r="F22" s="101"/>
      <c r="G22" s="101"/>
      <c r="H22" s="102"/>
      <c r="I22" s="94"/>
      <c r="J22" s="103"/>
      <c r="K22" s="16"/>
      <c r="L22" s="104"/>
      <c r="M22" s="104"/>
      <c r="N22" s="94"/>
      <c r="O22" s="103"/>
      <c r="P22" s="98"/>
      <c r="Q22" s="99"/>
      <c r="R22" s="19" t="s">
        <v>39</v>
      </c>
      <c r="S22" s="17"/>
      <c r="V22" s="23"/>
      <c r="W22" s="23"/>
    </row>
    <row r="23" spans="2:27" s="23" customFormat="1" ht="13.15" customHeight="1" x14ac:dyDescent="0.45">
      <c r="B23" s="20"/>
      <c r="C23" s="20"/>
      <c r="D23" s="20"/>
      <c r="E23" s="82"/>
      <c r="F23" s="83"/>
      <c r="G23" s="83"/>
      <c r="H23" s="84"/>
      <c r="I23" s="85"/>
      <c r="J23" s="86"/>
      <c r="K23" s="21"/>
      <c r="L23" s="85"/>
      <c r="M23" s="87"/>
      <c r="N23" s="85"/>
      <c r="O23" s="86"/>
      <c r="P23" s="85">
        <f>-K23*N23</f>
        <v>0</v>
      </c>
      <c r="Q23" s="86"/>
      <c r="R23" s="22"/>
      <c r="S23" s="1"/>
      <c r="V23" s="1"/>
      <c r="W23" s="1"/>
    </row>
    <row r="24" spans="2:27" ht="13.15" customHeight="1" x14ac:dyDescent="0.45">
      <c r="B24" s="13"/>
      <c r="C24" s="13"/>
      <c r="D24" s="13"/>
      <c r="E24" s="88" t="s">
        <v>59</v>
      </c>
      <c r="F24" s="89"/>
      <c r="G24" s="89"/>
      <c r="H24" s="90"/>
      <c r="I24" s="73"/>
      <c r="J24" s="74"/>
      <c r="K24" s="8"/>
      <c r="L24" s="73"/>
      <c r="M24" s="74"/>
      <c r="N24" s="73"/>
      <c r="O24" s="74"/>
      <c r="P24" s="73">
        <f>SUM(전체주문내역!AN:AN)</f>
        <v>-33907.5</v>
      </c>
      <c r="Q24" s="74"/>
      <c r="R24" s="18"/>
    </row>
    <row r="25" spans="2:27" ht="13.15" customHeight="1" x14ac:dyDescent="0.45">
      <c r="B25" s="13"/>
      <c r="C25" s="13"/>
      <c r="D25" s="13"/>
      <c r="E25" s="65" t="s">
        <v>98</v>
      </c>
      <c r="F25" s="65"/>
      <c r="G25" s="65"/>
      <c r="H25" s="65"/>
      <c r="I25" s="73"/>
      <c r="J25" s="74"/>
      <c r="K25" s="34"/>
      <c r="L25" s="75" t="s">
        <v>36</v>
      </c>
      <c r="M25" s="75"/>
      <c r="N25" s="67"/>
      <c r="O25" s="67"/>
      <c r="P25" s="76"/>
      <c r="Q25" s="76"/>
      <c r="R25" s="22"/>
    </row>
    <row r="26" spans="2:27" ht="13.15" customHeight="1" x14ac:dyDescent="0.45">
      <c r="B26" s="13"/>
      <c r="C26" s="13"/>
      <c r="D26" s="13"/>
      <c r="E26" s="77"/>
      <c r="F26" s="77"/>
      <c r="G26" s="77"/>
      <c r="H26" s="77"/>
      <c r="I26" s="78"/>
      <c r="J26" s="78"/>
      <c r="K26" s="24"/>
      <c r="L26" s="79"/>
      <c r="M26" s="79"/>
      <c r="N26" s="79"/>
      <c r="O26" s="79"/>
      <c r="P26" s="80"/>
      <c r="Q26" s="81"/>
      <c r="R26" s="25"/>
    </row>
    <row r="27" spans="2:27" ht="13.15" customHeight="1" x14ac:dyDescent="0.45">
      <c r="B27" s="13"/>
      <c r="C27" s="13"/>
      <c r="D27" s="13"/>
      <c r="E27" s="65"/>
      <c r="F27" s="65"/>
      <c r="G27" s="65"/>
      <c r="H27" s="65"/>
      <c r="I27" s="66"/>
      <c r="J27" s="66"/>
      <c r="K27" s="26"/>
      <c r="L27" s="67" t="s">
        <v>32</v>
      </c>
      <c r="M27" s="67"/>
      <c r="N27" s="67"/>
      <c r="O27" s="67"/>
      <c r="P27" s="68">
        <f>SUM(P11:Q26)</f>
        <v>369492.5</v>
      </c>
      <c r="Q27" s="68"/>
      <c r="S27" s="27"/>
    </row>
    <row r="28" spans="2:27" ht="24" customHeight="1" thickBot="1" x14ac:dyDescent="0.5">
      <c r="B28" s="69" t="s">
        <v>38</v>
      </c>
      <c r="C28" s="69"/>
      <c r="D28" s="69"/>
      <c r="E28" s="70" t="s">
        <v>99</v>
      </c>
      <c r="F28" s="71"/>
      <c r="G28" s="71"/>
      <c r="H28" s="71"/>
      <c r="I28" s="69" t="s">
        <v>33</v>
      </c>
      <c r="J28" s="69"/>
      <c r="K28" s="69"/>
      <c r="L28" s="72">
        <f>P27</f>
        <v>369492.5</v>
      </c>
      <c r="M28" s="72"/>
      <c r="N28" s="72"/>
      <c r="O28" s="72"/>
      <c r="P28" s="72"/>
      <c r="Q28" s="72"/>
      <c r="S28" s="27"/>
    </row>
    <row r="29" spans="2:27" ht="27" customHeight="1" thickBot="1" x14ac:dyDescent="0.5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2" t="s">
        <v>34</v>
      </c>
      <c r="M29" s="63"/>
      <c r="N29" s="63"/>
      <c r="O29" s="63"/>
      <c r="P29" s="63"/>
      <c r="Q29" s="64"/>
    </row>
    <row r="30" spans="2:27" ht="14.25" customHeight="1" x14ac:dyDescent="0.45">
      <c r="B30" s="28"/>
      <c r="C30" s="28"/>
      <c r="D30" s="28"/>
      <c r="E30" s="28"/>
      <c r="F30" s="28"/>
      <c r="G30" s="28"/>
      <c r="H30" s="28"/>
      <c r="I30" s="28"/>
      <c r="J30" s="28"/>
      <c r="K30" s="28"/>
    </row>
  </sheetData>
  <mergeCells count="120">
    <mergeCell ref="B2:Q2"/>
    <mergeCell ref="B4:Q4"/>
    <mergeCell ref="B5:B9"/>
    <mergeCell ref="C5:E5"/>
    <mergeCell ref="F5:I5"/>
    <mergeCell ref="J5:J9"/>
    <mergeCell ref="L5:Q5"/>
    <mergeCell ref="C6:E6"/>
    <mergeCell ref="F6:I6"/>
    <mergeCell ref="L6:N6"/>
    <mergeCell ref="C9:E9"/>
    <mergeCell ref="F9:I9"/>
    <mergeCell ref="L9:Q9"/>
    <mergeCell ref="B11:B14"/>
    <mergeCell ref="C11:C14"/>
    <mergeCell ref="D11:D14"/>
    <mergeCell ref="E10:H10"/>
    <mergeCell ref="I10:J10"/>
    <mergeCell ref="L10:M10"/>
    <mergeCell ref="N10:O10"/>
    <mergeCell ref="P10:Q10"/>
    <mergeCell ref="P6:Q6"/>
    <mergeCell ref="C7:E7"/>
    <mergeCell ref="F7:I7"/>
    <mergeCell ref="L7:Q7"/>
    <mergeCell ref="C8:E8"/>
    <mergeCell ref="F8:I8"/>
    <mergeCell ref="L8:N8"/>
    <mergeCell ref="P8:Q8"/>
    <mergeCell ref="N11:O11"/>
    <mergeCell ref="P11:Q11"/>
    <mergeCell ref="T11:T15"/>
    <mergeCell ref="E12:H12"/>
    <mergeCell ref="I12:J12"/>
    <mergeCell ref="L12:M12"/>
    <mergeCell ref="N12:O12"/>
    <mergeCell ref="P12:Q12"/>
    <mergeCell ref="E13:H13"/>
    <mergeCell ref="I13:J13"/>
    <mergeCell ref="N15:O15"/>
    <mergeCell ref="P15:Q15"/>
    <mergeCell ref="E11:H11"/>
    <mergeCell ref="I11:J11"/>
    <mergeCell ref="L11:M11"/>
    <mergeCell ref="L13:M13"/>
    <mergeCell ref="E15:H15"/>
    <mergeCell ref="I15:J15"/>
    <mergeCell ref="L15:M15"/>
    <mergeCell ref="E16:H16"/>
    <mergeCell ref="I16:J16"/>
    <mergeCell ref="L16:M16"/>
    <mergeCell ref="N16:O16"/>
    <mergeCell ref="P16:Q16"/>
    <mergeCell ref="N13:O13"/>
    <mergeCell ref="P13:Q13"/>
    <mergeCell ref="E14:H14"/>
    <mergeCell ref="I14:J14"/>
    <mergeCell ref="L14:M14"/>
    <mergeCell ref="N14:O14"/>
    <mergeCell ref="P14:Q14"/>
    <mergeCell ref="E17:H17"/>
    <mergeCell ref="I17:J17"/>
    <mergeCell ref="L17:M17"/>
    <mergeCell ref="N17:O17"/>
    <mergeCell ref="P17:Q17"/>
    <mergeCell ref="E18:H18"/>
    <mergeCell ref="I18:J18"/>
    <mergeCell ref="L18:M18"/>
    <mergeCell ref="N18:O18"/>
    <mergeCell ref="P18:Q18"/>
    <mergeCell ref="E19:H19"/>
    <mergeCell ref="I19:J19"/>
    <mergeCell ref="L19:M19"/>
    <mergeCell ref="N19:O19"/>
    <mergeCell ref="P19:Q19"/>
    <mergeCell ref="E20:H20"/>
    <mergeCell ref="I20:J20"/>
    <mergeCell ref="L20:M20"/>
    <mergeCell ref="N20:O20"/>
    <mergeCell ref="P20:Q20"/>
    <mergeCell ref="E21:H21"/>
    <mergeCell ref="I21:J21"/>
    <mergeCell ref="L21:M21"/>
    <mergeCell ref="N21:O21"/>
    <mergeCell ref="P21:Q21"/>
    <mergeCell ref="E22:H22"/>
    <mergeCell ref="I22:J22"/>
    <mergeCell ref="L22:M22"/>
    <mergeCell ref="N22:O22"/>
    <mergeCell ref="P22:Q22"/>
    <mergeCell ref="E23:H23"/>
    <mergeCell ref="I23:J23"/>
    <mergeCell ref="L23:M23"/>
    <mergeCell ref="N23:O23"/>
    <mergeCell ref="P23:Q23"/>
    <mergeCell ref="E24:H24"/>
    <mergeCell ref="I24:J24"/>
    <mergeCell ref="L24:M24"/>
    <mergeCell ref="N24:O24"/>
    <mergeCell ref="P24:Q24"/>
    <mergeCell ref="E25:H25"/>
    <mergeCell ref="I25:J25"/>
    <mergeCell ref="L25:M25"/>
    <mergeCell ref="N25:O25"/>
    <mergeCell ref="P25:Q25"/>
    <mergeCell ref="E26:H26"/>
    <mergeCell ref="I26:J26"/>
    <mergeCell ref="L26:M26"/>
    <mergeCell ref="N26:O26"/>
    <mergeCell ref="P26:Q26"/>
    <mergeCell ref="B29:K29"/>
    <mergeCell ref="L29:Q29"/>
    <mergeCell ref="E27:H27"/>
    <mergeCell ref="I27:J27"/>
    <mergeCell ref="L27:O27"/>
    <mergeCell ref="P27:Q27"/>
    <mergeCell ref="B28:D28"/>
    <mergeCell ref="E28:H28"/>
    <mergeCell ref="I28:K28"/>
    <mergeCell ref="L28:Q28"/>
  </mergeCells>
  <phoneticPr fontId="3" type="noConversion"/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E2D7-9BF7-4158-9292-E8B6DEAAAFD0}">
  <dimension ref="A1:AZ12"/>
  <sheetViews>
    <sheetView zoomScaleNormal="100" workbookViewId="0"/>
  </sheetViews>
  <sheetFormatPr defaultColWidth="10.26953125" defaultRowHeight="16" x14ac:dyDescent="0.45"/>
  <cols>
    <col min="1" max="5" width="12.54296875" style="29" customWidth="1"/>
    <col min="6" max="6" width="14.81640625" style="29" customWidth="1"/>
    <col min="7" max="7" width="8.54296875" style="30" customWidth="1"/>
    <col min="8" max="8" width="18.54296875" style="37" customWidth="1"/>
    <col min="9" max="10" width="15" style="30" customWidth="1"/>
    <col min="11" max="11" width="10.7265625" style="30" customWidth="1"/>
    <col min="12" max="12" width="8.7265625" style="30" customWidth="1"/>
    <col min="13" max="13" width="16.54296875" style="30" customWidth="1"/>
    <col min="14" max="15" width="16.54296875" style="37" customWidth="1"/>
    <col min="16" max="16" width="16.54296875" style="30" customWidth="1"/>
    <col min="17" max="17" width="10.26953125" style="30" customWidth="1"/>
    <col min="18" max="20" width="15.7265625" style="30" customWidth="1"/>
    <col min="21" max="22" width="32.54296875" style="31" customWidth="1"/>
    <col min="23" max="25" width="13.7265625" style="31" customWidth="1"/>
    <col min="26" max="27" width="32.54296875" style="31" customWidth="1"/>
    <col min="28" max="28" width="8.54296875" style="31" customWidth="1"/>
    <col min="29" max="29" width="15" style="31" customWidth="1"/>
    <col min="30" max="30" width="10.453125" style="31" customWidth="1"/>
    <col min="31" max="31" width="18.1796875" style="31" customWidth="1"/>
    <col min="32" max="35" width="10.7265625" style="31" customWidth="1"/>
    <col min="36" max="39" width="12.453125" style="31" customWidth="1"/>
    <col min="40" max="40" width="13.7265625" style="31" customWidth="1"/>
    <col min="41" max="42" width="32.54296875" style="31" customWidth="1"/>
    <col min="43" max="51" width="32.54296875" style="30" customWidth="1"/>
    <col min="52" max="16384" width="10.26953125" style="29"/>
  </cols>
  <sheetData>
    <row r="1" spans="1:52" s="40" customFormat="1" x14ac:dyDescent="0.4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  <c r="O1" s="56"/>
      <c r="P1" s="57"/>
      <c r="Q1" s="57"/>
      <c r="R1" s="57"/>
      <c r="S1" s="57"/>
      <c r="T1" s="57"/>
      <c r="U1" s="57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39"/>
      <c r="AO1" s="39"/>
      <c r="AP1" s="39"/>
      <c r="AQ1" s="39"/>
      <c r="AR1" s="38"/>
      <c r="AS1" s="38"/>
      <c r="AT1" s="38"/>
      <c r="AU1" s="38"/>
      <c r="AV1" s="38"/>
      <c r="AW1" s="38"/>
      <c r="AX1" s="38"/>
      <c r="AY1" s="38"/>
      <c r="AZ1" s="38"/>
    </row>
    <row r="2" spans="1:52" s="47" customFormat="1" x14ac:dyDescent="0.45">
      <c r="A2" s="45" t="s">
        <v>45</v>
      </c>
      <c r="B2" s="45" t="s">
        <v>46</v>
      </c>
      <c r="C2" s="45" t="s">
        <v>35</v>
      </c>
      <c r="D2" s="45" t="s">
        <v>47</v>
      </c>
      <c r="E2" s="45" t="s">
        <v>48</v>
      </c>
      <c r="F2" s="45" t="s">
        <v>49</v>
      </c>
      <c r="G2" s="45" t="s">
        <v>50</v>
      </c>
      <c r="H2" s="45" t="s">
        <v>51</v>
      </c>
      <c r="I2" s="45" t="s">
        <v>52</v>
      </c>
      <c r="J2" s="45" t="s">
        <v>53</v>
      </c>
      <c r="K2" s="45" t="s">
        <v>54</v>
      </c>
      <c r="L2" s="45" t="s">
        <v>55</v>
      </c>
      <c r="M2" s="45" t="s">
        <v>65</v>
      </c>
      <c r="N2" s="45" t="s">
        <v>66</v>
      </c>
      <c r="O2" s="45" t="s">
        <v>67</v>
      </c>
      <c r="P2" s="45" t="s">
        <v>68</v>
      </c>
      <c r="Q2" s="45" t="s">
        <v>69</v>
      </c>
      <c r="R2" s="45" t="s">
        <v>70</v>
      </c>
      <c r="S2" s="45" t="s">
        <v>71</v>
      </c>
      <c r="T2" s="45" t="s">
        <v>72</v>
      </c>
      <c r="U2" s="45" t="s">
        <v>56</v>
      </c>
      <c r="V2" s="45" t="s">
        <v>60</v>
      </c>
      <c r="W2" s="45" t="s">
        <v>57</v>
      </c>
      <c r="X2" s="45" t="s">
        <v>61</v>
      </c>
      <c r="Y2" s="45" t="s">
        <v>62</v>
      </c>
      <c r="Z2" s="45" t="s">
        <v>63</v>
      </c>
      <c r="AA2" s="45" t="s">
        <v>64</v>
      </c>
      <c r="AB2" s="45" t="s">
        <v>58</v>
      </c>
      <c r="AC2" s="45" t="s">
        <v>73</v>
      </c>
      <c r="AD2" s="45" t="s">
        <v>74</v>
      </c>
      <c r="AE2" s="45" t="s">
        <v>75</v>
      </c>
      <c r="AF2" s="45" t="s">
        <v>76</v>
      </c>
      <c r="AG2" s="45" t="s">
        <v>77</v>
      </c>
      <c r="AH2" s="45" t="s">
        <v>78</v>
      </c>
      <c r="AI2" s="45" t="s">
        <v>79</v>
      </c>
      <c r="AJ2" s="45" t="s">
        <v>80</v>
      </c>
      <c r="AK2" s="45" t="s">
        <v>81</v>
      </c>
      <c r="AL2" s="45" t="s">
        <v>82</v>
      </c>
      <c r="AM2" s="45" t="s">
        <v>83</v>
      </c>
      <c r="AN2" s="54" t="s">
        <v>43</v>
      </c>
    </row>
    <row r="3" spans="1:52" s="53" customFormat="1" x14ac:dyDescent="0.45">
      <c r="A3" s="59" t="s">
        <v>91</v>
      </c>
      <c r="B3" s="59" t="s">
        <v>105</v>
      </c>
      <c r="C3" s="59" t="s">
        <v>106</v>
      </c>
      <c r="D3" s="59" t="s">
        <v>107</v>
      </c>
      <c r="E3" s="59" t="s">
        <v>108</v>
      </c>
      <c r="F3" s="59" t="s">
        <v>109</v>
      </c>
      <c r="G3" s="59" t="s">
        <v>108</v>
      </c>
      <c r="H3" s="59" t="s">
        <v>109</v>
      </c>
      <c r="I3" s="59" t="s">
        <v>110</v>
      </c>
      <c r="J3" s="59" t="s">
        <v>111</v>
      </c>
      <c r="K3" s="59" t="s">
        <v>112</v>
      </c>
      <c r="L3" s="59">
        <v>37500</v>
      </c>
      <c r="M3" s="59">
        <v>0</v>
      </c>
      <c r="N3" s="59">
        <v>0</v>
      </c>
      <c r="O3" s="59">
        <v>0</v>
      </c>
      <c r="P3" s="59">
        <v>3000</v>
      </c>
      <c r="Q3" s="59">
        <v>0</v>
      </c>
      <c r="R3" s="59" t="s">
        <v>113</v>
      </c>
      <c r="S3" s="59" t="s">
        <v>114</v>
      </c>
      <c r="T3" s="59" t="s">
        <v>92</v>
      </c>
      <c r="U3" s="59" t="s">
        <v>115</v>
      </c>
      <c r="V3" s="59" t="s">
        <v>116</v>
      </c>
      <c r="W3" s="59" t="s">
        <v>93</v>
      </c>
      <c r="X3" s="59" t="s">
        <v>117</v>
      </c>
      <c r="Y3" s="59"/>
      <c r="Z3" s="59"/>
      <c r="AA3" s="59" t="s">
        <v>94</v>
      </c>
      <c r="AB3" s="59">
        <v>2</v>
      </c>
      <c r="AC3" s="59">
        <v>0</v>
      </c>
      <c r="AD3" s="59">
        <v>0</v>
      </c>
      <c r="AE3" s="59">
        <v>34500</v>
      </c>
      <c r="AF3" s="59"/>
      <c r="AG3" s="59" t="s">
        <v>118</v>
      </c>
      <c r="AH3" s="60" t="s">
        <v>95</v>
      </c>
      <c r="AI3" s="60" t="s">
        <v>119</v>
      </c>
      <c r="AJ3" s="59"/>
      <c r="AK3" s="59"/>
      <c r="AL3" s="59"/>
      <c r="AM3" s="59"/>
      <c r="AN3" s="61">
        <f t="shared" ref="AN3:AN12" si="0">-AE3*3.3%</f>
        <v>-1138.5</v>
      </c>
    </row>
    <row r="4" spans="1:52" s="53" customFormat="1" x14ac:dyDescent="0.45">
      <c r="A4" s="59" t="s">
        <v>91</v>
      </c>
      <c r="B4" s="59" t="s">
        <v>105</v>
      </c>
      <c r="C4" s="59" t="s">
        <v>130</v>
      </c>
      <c r="D4" s="59" t="s">
        <v>131</v>
      </c>
      <c r="E4" s="59" t="s">
        <v>132</v>
      </c>
      <c r="F4" s="59" t="s">
        <v>133</v>
      </c>
      <c r="G4" s="59" t="s">
        <v>132</v>
      </c>
      <c r="H4" s="59" t="s">
        <v>133</v>
      </c>
      <c r="I4" s="59" t="s">
        <v>134</v>
      </c>
      <c r="J4" s="59" t="s">
        <v>135</v>
      </c>
      <c r="K4" s="59" t="s">
        <v>136</v>
      </c>
      <c r="L4" s="59">
        <v>37500</v>
      </c>
      <c r="M4" s="59">
        <v>0</v>
      </c>
      <c r="N4" s="59">
        <v>0</v>
      </c>
      <c r="O4" s="59">
        <v>0</v>
      </c>
      <c r="P4" s="59">
        <v>3000</v>
      </c>
      <c r="Q4" s="59">
        <v>0</v>
      </c>
      <c r="R4" s="59" t="s">
        <v>137</v>
      </c>
      <c r="S4" s="59" t="s">
        <v>114</v>
      </c>
      <c r="T4" s="59" t="s">
        <v>92</v>
      </c>
      <c r="U4" s="59" t="s">
        <v>115</v>
      </c>
      <c r="V4" s="59" t="s">
        <v>138</v>
      </c>
      <c r="W4" s="59" t="s">
        <v>93</v>
      </c>
      <c r="X4" s="59" t="s">
        <v>139</v>
      </c>
      <c r="Y4" s="59"/>
      <c r="Z4" s="59"/>
      <c r="AA4" s="59" t="s">
        <v>94</v>
      </c>
      <c r="AB4" s="59">
        <v>2</v>
      </c>
      <c r="AC4" s="59">
        <v>0</v>
      </c>
      <c r="AD4" s="59">
        <v>0</v>
      </c>
      <c r="AE4" s="59">
        <v>34500</v>
      </c>
      <c r="AF4" s="59"/>
      <c r="AG4" s="59" t="s">
        <v>118</v>
      </c>
      <c r="AH4" s="60" t="s">
        <v>95</v>
      </c>
      <c r="AI4" s="60" t="s">
        <v>140</v>
      </c>
      <c r="AJ4" s="59"/>
      <c r="AK4" s="59"/>
      <c r="AL4" s="59"/>
      <c r="AM4" s="59"/>
      <c r="AN4" s="61">
        <f t="shared" si="0"/>
        <v>-1138.5</v>
      </c>
    </row>
    <row r="5" spans="1:52" s="53" customFormat="1" x14ac:dyDescent="0.45">
      <c r="A5" s="59" t="s">
        <v>91</v>
      </c>
      <c r="B5" s="59" t="s">
        <v>105</v>
      </c>
      <c r="C5" s="59" t="s">
        <v>141</v>
      </c>
      <c r="D5" s="59" t="s">
        <v>142</v>
      </c>
      <c r="E5" s="59" t="s">
        <v>143</v>
      </c>
      <c r="F5" s="59" t="s">
        <v>144</v>
      </c>
      <c r="G5" s="59" t="s">
        <v>143</v>
      </c>
      <c r="H5" s="59" t="s">
        <v>144</v>
      </c>
      <c r="I5" s="59" t="s">
        <v>145</v>
      </c>
      <c r="J5" s="59" t="s">
        <v>146</v>
      </c>
      <c r="K5" s="59" t="s">
        <v>126</v>
      </c>
      <c r="L5" s="59">
        <v>83500</v>
      </c>
      <c r="M5" s="59">
        <v>0</v>
      </c>
      <c r="N5" s="59">
        <v>0</v>
      </c>
      <c r="O5" s="59">
        <v>0</v>
      </c>
      <c r="P5" s="59">
        <v>0</v>
      </c>
      <c r="Q5" s="59">
        <v>0</v>
      </c>
      <c r="R5" s="59" t="s">
        <v>147</v>
      </c>
      <c r="S5" s="59" t="s">
        <v>114</v>
      </c>
      <c r="T5" s="59" t="s">
        <v>92</v>
      </c>
      <c r="U5" s="59" t="s">
        <v>115</v>
      </c>
      <c r="V5" s="59" t="s">
        <v>148</v>
      </c>
      <c r="W5" s="59" t="s">
        <v>93</v>
      </c>
      <c r="X5" s="59" t="s">
        <v>149</v>
      </c>
      <c r="Y5" s="59"/>
      <c r="Z5" s="59"/>
      <c r="AA5" s="59" t="s">
        <v>94</v>
      </c>
      <c r="AB5" s="59">
        <v>5</v>
      </c>
      <c r="AC5" s="59">
        <v>0</v>
      </c>
      <c r="AD5" s="59">
        <v>0</v>
      </c>
      <c r="AE5" s="59">
        <v>83500</v>
      </c>
      <c r="AF5" s="59"/>
      <c r="AG5" s="59" t="s">
        <v>150</v>
      </c>
      <c r="AH5" s="60" t="s">
        <v>95</v>
      </c>
      <c r="AI5" s="60" t="s">
        <v>151</v>
      </c>
      <c r="AJ5" s="59"/>
      <c r="AK5" s="59"/>
      <c r="AL5" s="59"/>
      <c r="AM5" s="59"/>
      <c r="AN5" s="61">
        <f t="shared" si="0"/>
        <v>-2755.5</v>
      </c>
    </row>
    <row r="6" spans="1:52" s="53" customFormat="1" x14ac:dyDescent="0.45">
      <c r="A6" s="59" t="s">
        <v>91</v>
      </c>
      <c r="B6" s="59" t="s">
        <v>105</v>
      </c>
      <c r="C6" s="59" t="s">
        <v>152</v>
      </c>
      <c r="D6" s="59" t="s">
        <v>153</v>
      </c>
      <c r="E6" s="59" t="s">
        <v>154</v>
      </c>
      <c r="F6" s="59" t="s">
        <v>155</v>
      </c>
      <c r="G6" s="59" t="s">
        <v>154</v>
      </c>
      <c r="H6" s="59" t="s">
        <v>155</v>
      </c>
      <c r="I6" s="59" t="s">
        <v>156</v>
      </c>
      <c r="J6" s="59" t="s">
        <v>157</v>
      </c>
      <c r="K6" s="59" t="s">
        <v>126</v>
      </c>
      <c r="L6" s="59">
        <v>83500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59" t="s">
        <v>158</v>
      </c>
      <c r="S6" s="59" t="s">
        <v>114</v>
      </c>
      <c r="T6" s="59" t="s">
        <v>92</v>
      </c>
      <c r="U6" s="59" t="s">
        <v>115</v>
      </c>
      <c r="V6" s="59" t="s">
        <v>159</v>
      </c>
      <c r="W6" s="59" t="s">
        <v>93</v>
      </c>
      <c r="X6" s="59" t="s">
        <v>160</v>
      </c>
      <c r="Y6" s="59"/>
      <c r="Z6" s="59"/>
      <c r="AA6" s="59" t="s">
        <v>94</v>
      </c>
      <c r="AB6" s="59">
        <v>5</v>
      </c>
      <c r="AC6" s="59">
        <v>0</v>
      </c>
      <c r="AD6" s="59">
        <v>0</v>
      </c>
      <c r="AE6" s="59">
        <v>83500</v>
      </c>
      <c r="AF6" s="59"/>
      <c r="AG6" s="59" t="s">
        <v>118</v>
      </c>
      <c r="AH6" s="60" t="s">
        <v>95</v>
      </c>
      <c r="AI6" s="60" t="s">
        <v>161</v>
      </c>
      <c r="AJ6" s="59"/>
      <c r="AK6" s="59"/>
      <c r="AL6" s="59"/>
      <c r="AM6" s="59"/>
      <c r="AN6" s="61">
        <f t="shared" si="0"/>
        <v>-2755.5</v>
      </c>
    </row>
    <row r="7" spans="1:52" s="53" customFormat="1" x14ac:dyDescent="0.45">
      <c r="A7" s="59" t="s">
        <v>91</v>
      </c>
      <c r="B7" s="59" t="s">
        <v>105</v>
      </c>
      <c r="C7" s="59" t="s">
        <v>162</v>
      </c>
      <c r="D7" s="59" t="s">
        <v>163</v>
      </c>
      <c r="E7" s="59" t="s">
        <v>164</v>
      </c>
      <c r="F7" s="59" t="s">
        <v>165</v>
      </c>
      <c r="G7" s="59" t="s">
        <v>164</v>
      </c>
      <c r="H7" s="59" t="s">
        <v>165</v>
      </c>
      <c r="I7" s="59" t="s">
        <v>166</v>
      </c>
      <c r="J7" s="59" t="s">
        <v>167</v>
      </c>
      <c r="K7" s="59" t="s">
        <v>136</v>
      </c>
      <c r="L7" s="59">
        <v>83500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 t="s">
        <v>168</v>
      </c>
      <c r="S7" s="59" t="s">
        <v>114</v>
      </c>
      <c r="T7" s="59" t="s">
        <v>92</v>
      </c>
      <c r="U7" s="59" t="s">
        <v>115</v>
      </c>
      <c r="V7" s="59" t="s">
        <v>169</v>
      </c>
      <c r="W7" s="59" t="s">
        <v>93</v>
      </c>
      <c r="X7" s="59" t="s">
        <v>170</v>
      </c>
      <c r="Y7" s="59"/>
      <c r="Z7" s="59"/>
      <c r="AA7" s="59" t="s">
        <v>94</v>
      </c>
      <c r="AB7" s="59">
        <v>5</v>
      </c>
      <c r="AC7" s="59">
        <v>0</v>
      </c>
      <c r="AD7" s="59">
        <v>0</v>
      </c>
      <c r="AE7" s="59">
        <v>83500</v>
      </c>
      <c r="AF7" s="59"/>
      <c r="AG7" s="59" t="s">
        <v>171</v>
      </c>
      <c r="AH7" s="60" t="s">
        <v>95</v>
      </c>
      <c r="AI7" s="60" t="s">
        <v>172</v>
      </c>
      <c r="AJ7" s="59"/>
      <c r="AK7" s="59"/>
      <c r="AL7" s="59"/>
      <c r="AM7" s="59"/>
      <c r="AN7" s="61">
        <f t="shared" si="0"/>
        <v>-2755.5</v>
      </c>
    </row>
    <row r="8" spans="1:52" s="53" customFormat="1" x14ac:dyDescent="0.45">
      <c r="A8" s="59" t="s">
        <v>91</v>
      </c>
      <c r="B8" s="59" t="s">
        <v>105</v>
      </c>
      <c r="C8" s="59" t="s">
        <v>120</v>
      </c>
      <c r="D8" s="59" t="s">
        <v>121</v>
      </c>
      <c r="E8" s="59" t="s">
        <v>122</v>
      </c>
      <c r="F8" s="59" t="s">
        <v>123</v>
      </c>
      <c r="G8" s="59" t="s">
        <v>122</v>
      </c>
      <c r="H8" s="59" t="s">
        <v>123</v>
      </c>
      <c r="I8" s="59" t="s">
        <v>124</v>
      </c>
      <c r="J8" s="59" t="s">
        <v>125</v>
      </c>
      <c r="K8" s="59" t="s">
        <v>126</v>
      </c>
      <c r="L8" s="59">
        <v>114000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 t="s">
        <v>127</v>
      </c>
      <c r="S8" s="59" t="s">
        <v>114</v>
      </c>
      <c r="T8" s="59" t="s">
        <v>92</v>
      </c>
      <c r="U8" s="59" t="s">
        <v>115</v>
      </c>
      <c r="V8" s="59" t="s">
        <v>128</v>
      </c>
      <c r="W8" s="59" t="s">
        <v>93</v>
      </c>
      <c r="X8" s="59" t="s">
        <v>129</v>
      </c>
      <c r="Y8" s="59"/>
      <c r="Z8" s="59"/>
      <c r="AA8" s="59" t="s">
        <v>94</v>
      </c>
      <c r="AB8" s="59">
        <v>7</v>
      </c>
      <c r="AC8" s="59">
        <v>0</v>
      </c>
      <c r="AD8" s="59">
        <v>0</v>
      </c>
      <c r="AE8" s="59">
        <v>114000</v>
      </c>
      <c r="AF8" s="59"/>
      <c r="AG8" s="59" t="s">
        <v>118</v>
      </c>
      <c r="AH8" s="59"/>
      <c r="AI8" s="59"/>
      <c r="AJ8" s="59"/>
      <c r="AK8" s="59"/>
      <c r="AL8" s="59"/>
      <c r="AM8" s="59"/>
      <c r="AN8" s="61">
        <f t="shared" si="0"/>
        <v>-3762</v>
      </c>
    </row>
    <row r="9" spans="1:52" s="53" customFormat="1" x14ac:dyDescent="0.45">
      <c r="A9" s="59" t="s">
        <v>91</v>
      </c>
      <c r="B9" s="59" t="s">
        <v>105</v>
      </c>
      <c r="C9" s="59" t="s">
        <v>173</v>
      </c>
      <c r="D9" s="59" t="s">
        <v>174</v>
      </c>
      <c r="E9" s="59" t="s">
        <v>175</v>
      </c>
      <c r="F9" s="59" t="s">
        <v>176</v>
      </c>
      <c r="G9" s="59" t="s">
        <v>175</v>
      </c>
      <c r="H9" s="59" t="s">
        <v>176</v>
      </c>
      <c r="I9" s="59" t="s">
        <v>177</v>
      </c>
      <c r="J9" s="59" t="s">
        <v>178</v>
      </c>
      <c r="K9" s="59" t="s">
        <v>96</v>
      </c>
      <c r="L9" s="59">
        <v>114000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 t="s">
        <v>179</v>
      </c>
      <c r="S9" s="59" t="s">
        <v>114</v>
      </c>
      <c r="T9" s="59" t="s">
        <v>92</v>
      </c>
      <c r="U9" s="59" t="s">
        <v>115</v>
      </c>
      <c r="V9" s="59" t="s">
        <v>180</v>
      </c>
      <c r="W9" s="59" t="s">
        <v>93</v>
      </c>
      <c r="X9" s="59" t="s">
        <v>181</v>
      </c>
      <c r="Y9" s="59"/>
      <c r="Z9" s="59"/>
      <c r="AA9" s="59" t="s">
        <v>94</v>
      </c>
      <c r="AB9" s="59">
        <v>7</v>
      </c>
      <c r="AC9" s="59">
        <v>0</v>
      </c>
      <c r="AD9" s="59">
        <v>0</v>
      </c>
      <c r="AE9" s="59">
        <v>114000</v>
      </c>
      <c r="AF9" s="59"/>
      <c r="AG9" s="59" t="s">
        <v>118</v>
      </c>
      <c r="AH9" s="60" t="s">
        <v>95</v>
      </c>
      <c r="AI9" s="60" t="s">
        <v>182</v>
      </c>
      <c r="AJ9" s="59"/>
      <c r="AK9" s="59"/>
      <c r="AL9" s="59"/>
      <c r="AM9" s="59"/>
      <c r="AN9" s="61">
        <f t="shared" si="0"/>
        <v>-3762</v>
      </c>
    </row>
    <row r="10" spans="1:52" s="53" customFormat="1" x14ac:dyDescent="0.45">
      <c r="A10" s="59" t="s">
        <v>91</v>
      </c>
      <c r="B10" s="59" t="s">
        <v>105</v>
      </c>
      <c r="C10" s="59" t="s">
        <v>183</v>
      </c>
      <c r="D10" s="59" t="s">
        <v>184</v>
      </c>
      <c r="E10" s="59" t="s">
        <v>185</v>
      </c>
      <c r="F10" s="59" t="s">
        <v>186</v>
      </c>
      <c r="G10" s="59" t="s">
        <v>185</v>
      </c>
      <c r="H10" s="59" t="s">
        <v>186</v>
      </c>
      <c r="I10" s="59" t="s">
        <v>187</v>
      </c>
      <c r="J10" s="59" t="s">
        <v>188</v>
      </c>
      <c r="K10" s="59" t="s">
        <v>96</v>
      </c>
      <c r="L10" s="59">
        <v>160000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 t="s">
        <v>189</v>
      </c>
      <c r="S10" s="59" t="s">
        <v>114</v>
      </c>
      <c r="T10" s="59" t="s">
        <v>92</v>
      </c>
      <c r="U10" s="59" t="s">
        <v>115</v>
      </c>
      <c r="V10" s="59" t="s">
        <v>190</v>
      </c>
      <c r="W10" s="59" t="s">
        <v>93</v>
      </c>
      <c r="X10" s="59" t="s">
        <v>191</v>
      </c>
      <c r="Y10" s="59"/>
      <c r="Z10" s="59"/>
      <c r="AA10" s="59" t="s">
        <v>94</v>
      </c>
      <c r="AB10" s="59">
        <v>10</v>
      </c>
      <c r="AC10" s="59">
        <v>0</v>
      </c>
      <c r="AD10" s="59">
        <v>0</v>
      </c>
      <c r="AE10" s="59">
        <v>160000</v>
      </c>
      <c r="AF10" s="59"/>
      <c r="AG10" s="59" t="s">
        <v>118</v>
      </c>
      <c r="AH10" s="60" t="s">
        <v>95</v>
      </c>
      <c r="AI10" s="60" t="s">
        <v>192</v>
      </c>
      <c r="AJ10" s="59"/>
      <c r="AK10" s="59"/>
      <c r="AL10" s="59" t="s">
        <v>193</v>
      </c>
      <c r="AM10" s="59"/>
      <c r="AN10" s="61">
        <f t="shared" si="0"/>
        <v>-5280</v>
      </c>
    </row>
    <row r="11" spans="1:52" s="53" customFormat="1" x14ac:dyDescent="0.45">
      <c r="A11" s="59" t="s">
        <v>91</v>
      </c>
      <c r="B11" s="59" t="s">
        <v>105</v>
      </c>
      <c r="C11" s="59" t="s">
        <v>194</v>
      </c>
      <c r="D11" s="59" t="s">
        <v>195</v>
      </c>
      <c r="E11" s="59" t="s">
        <v>196</v>
      </c>
      <c r="F11" s="59" t="s">
        <v>197</v>
      </c>
      <c r="G11" s="59" t="s">
        <v>196</v>
      </c>
      <c r="H11" s="59" t="s">
        <v>197</v>
      </c>
      <c r="I11" s="59" t="s">
        <v>198</v>
      </c>
      <c r="J11" s="59" t="s">
        <v>199</v>
      </c>
      <c r="K11" s="59" t="s">
        <v>126</v>
      </c>
      <c r="L11" s="59">
        <v>160000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 t="s">
        <v>200</v>
      </c>
      <c r="S11" s="59" t="s">
        <v>114</v>
      </c>
      <c r="T11" s="59" t="s">
        <v>92</v>
      </c>
      <c r="U11" s="59" t="s">
        <v>115</v>
      </c>
      <c r="V11" s="59" t="s">
        <v>201</v>
      </c>
      <c r="W11" s="59" t="s">
        <v>93</v>
      </c>
      <c r="X11" s="59" t="s">
        <v>202</v>
      </c>
      <c r="Y11" s="59"/>
      <c r="Z11" s="59"/>
      <c r="AA11" s="59" t="s">
        <v>94</v>
      </c>
      <c r="AB11" s="59">
        <v>10</v>
      </c>
      <c r="AC11" s="59">
        <v>0</v>
      </c>
      <c r="AD11" s="59">
        <v>0</v>
      </c>
      <c r="AE11" s="59">
        <v>160000</v>
      </c>
      <c r="AF11" s="59"/>
      <c r="AG11" s="59" t="s">
        <v>118</v>
      </c>
      <c r="AH11" s="60" t="s">
        <v>95</v>
      </c>
      <c r="AI11" s="60" t="s">
        <v>203</v>
      </c>
      <c r="AJ11" s="59"/>
      <c r="AK11" s="59"/>
      <c r="AL11" s="59"/>
      <c r="AM11" s="59"/>
      <c r="AN11" s="61">
        <f t="shared" si="0"/>
        <v>-5280</v>
      </c>
    </row>
    <row r="12" spans="1:52" s="53" customFormat="1" x14ac:dyDescent="0.45">
      <c r="A12" s="59" t="s">
        <v>91</v>
      </c>
      <c r="B12" s="59" t="s">
        <v>105</v>
      </c>
      <c r="C12" s="59" t="s">
        <v>204</v>
      </c>
      <c r="D12" s="59" t="s">
        <v>205</v>
      </c>
      <c r="E12" s="59" t="s">
        <v>206</v>
      </c>
      <c r="F12" s="59" t="s">
        <v>207</v>
      </c>
      <c r="G12" s="59" t="s">
        <v>206</v>
      </c>
      <c r="H12" s="59" t="s">
        <v>207</v>
      </c>
      <c r="I12" s="59" t="s">
        <v>208</v>
      </c>
      <c r="J12" s="59" t="s">
        <v>209</v>
      </c>
      <c r="K12" s="59" t="s">
        <v>126</v>
      </c>
      <c r="L12" s="59">
        <v>160000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 t="s">
        <v>210</v>
      </c>
      <c r="S12" s="59" t="s">
        <v>114</v>
      </c>
      <c r="T12" s="59" t="s">
        <v>92</v>
      </c>
      <c r="U12" s="59" t="s">
        <v>115</v>
      </c>
      <c r="V12" s="59" t="s">
        <v>211</v>
      </c>
      <c r="W12" s="59" t="s">
        <v>93</v>
      </c>
      <c r="X12" s="59" t="s">
        <v>212</v>
      </c>
      <c r="Y12" s="59"/>
      <c r="Z12" s="59"/>
      <c r="AA12" s="59" t="s">
        <v>94</v>
      </c>
      <c r="AB12" s="59">
        <v>10</v>
      </c>
      <c r="AC12" s="59">
        <v>0</v>
      </c>
      <c r="AD12" s="59">
        <v>0</v>
      </c>
      <c r="AE12" s="59">
        <v>160000</v>
      </c>
      <c r="AF12" s="59"/>
      <c r="AG12" s="59" t="s">
        <v>118</v>
      </c>
      <c r="AH12" s="60" t="s">
        <v>95</v>
      </c>
      <c r="AI12" s="60" t="s">
        <v>213</v>
      </c>
      <c r="AJ12" s="59"/>
      <c r="AK12" s="59"/>
      <c r="AL12" s="59"/>
      <c r="AM12" s="59"/>
      <c r="AN12" s="61">
        <f t="shared" si="0"/>
        <v>-5280</v>
      </c>
    </row>
  </sheetData>
  <autoFilter ref="A2:AZ2" xr:uid="{2EACE2D7-9BF7-4158-9292-E8B6DEAAAFD0}">
    <sortState xmlns:xlrd2="http://schemas.microsoft.com/office/spreadsheetml/2017/richdata2" ref="A3:AZ12">
      <sortCondition ref="AE2"/>
    </sortState>
  </autoFilter>
  <phoneticPr fontId="3" type="noConversion"/>
  <conditionalFormatting sqref="F2:F1048576">
    <cfRule type="duplicateValues" dxfId="23" priority="53"/>
    <cfRule type="duplicateValues" dxfId="22" priority="54"/>
    <cfRule type="duplicateValues" dxfId="21" priority="55"/>
  </conditionalFormatting>
  <conditionalFormatting sqref="J2:J1048576">
    <cfRule type="duplicateValues" dxfId="20" priority="79"/>
    <cfRule type="duplicateValues" dxfId="19" priority="80"/>
    <cfRule type="duplicateValues" dxfId="18" priority="81"/>
  </conditionalFormatting>
  <conditionalFormatting sqref="AC1:AC1048576">
    <cfRule type="duplicateValues" dxfId="17" priority="85"/>
  </conditionalFormatting>
  <conditionalFormatting sqref="AE1:AE1048576">
    <cfRule type="duplicateValues" dxfId="16" priority="88"/>
  </conditionalFormatting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552C-A5E4-4DF3-BFEE-3E094EEBF70B}">
  <dimension ref="A1:BA2"/>
  <sheetViews>
    <sheetView zoomScaleNormal="100" workbookViewId="0"/>
  </sheetViews>
  <sheetFormatPr defaultColWidth="10.26953125" defaultRowHeight="16" x14ac:dyDescent="0.45"/>
  <cols>
    <col min="1" max="5" width="12.54296875" style="29" customWidth="1"/>
    <col min="6" max="6" width="14.81640625" style="29" customWidth="1"/>
    <col min="7" max="7" width="8.54296875" style="30" customWidth="1"/>
    <col min="8" max="8" width="18.54296875" style="37" customWidth="1"/>
    <col min="9" max="10" width="15" style="30" customWidth="1"/>
    <col min="11" max="11" width="10.7265625" style="30" customWidth="1"/>
    <col min="12" max="12" width="8.7265625" style="30" customWidth="1"/>
    <col min="13" max="13" width="16.54296875" style="30" customWidth="1"/>
    <col min="14" max="15" width="16.54296875" style="37" customWidth="1"/>
    <col min="16" max="16" width="16.54296875" style="30" customWidth="1"/>
    <col min="17" max="17" width="10.26953125" style="30" customWidth="1"/>
    <col min="18" max="20" width="15.7265625" style="30" customWidth="1"/>
    <col min="21" max="22" width="32.54296875" style="31" customWidth="1"/>
    <col min="23" max="25" width="13.7265625" style="31" customWidth="1"/>
    <col min="26" max="27" width="32.54296875" style="31" customWidth="1"/>
    <col min="28" max="28" width="8.54296875" style="31" customWidth="1"/>
    <col min="29" max="29" width="15" style="31" customWidth="1"/>
    <col min="30" max="30" width="10.453125" style="31" customWidth="1"/>
    <col min="31" max="31" width="18.1796875" style="31" customWidth="1"/>
    <col min="32" max="35" width="10.7265625" style="31" customWidth="1"/>
    <col min="36" max="39" width="12.453125" style="31" customWidth="1"/>
    <col min="40" max="41" width="13.7265625" style="31" customWidth="1"/>
    <col min="42" max="43" width="32.54296875" style="31" customWidth="1"/>
    <col min="44" max="52" width="32.54296875" style="30" customWidth="1"/>
    <col min="53" max="16384" width="10.26953125" style="29"/>
  </cols>
  <sheetData>
    <row r="1" spans="1:53" s="40" customFormat="1" x14ac:dyDescent="0.4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2"/>
      <c r="P1" s="43"/>
      <c r="Q1" s="43"/>
      <c r="R1" s="43"/>
      <c r="S1" s="43"/>
      <c r="T1" s="43"/>
      <c r="U1" s="43"/>
      <c r="V1" s="44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8"/>
      <c r="AT1" s="38"/>
      <c r="AU1" s="38"/>
      <c r="AV1" s="38"/>
      <c r="AW1" s="38"/>
      <c r="AX1" s="38"/>
      <c r="AY1" s="38"/>
      <c r="AZ1" s="38"/>
      <c r="BA1" s="38"/>
    </row>
    <row r="2" spans="1:53" s="47" customFormat="1" x14ac:dyDescent="0.45">
      <c r="A2" s="45" t="s">
        <v>45</v>
      </c>
      <c r="B2" s="45" t="s">
        <v>46</v>
      </c>
      <c r="C2" s="45" t="s">
        <v>35</v>
      </c>
      <c r="D2" s="45" t="s">
        <v>47</v>
      </c>
      <c r="E2" s="45" t="s">
        <v>48</v>
      </c>
      <c r="F2" s="45" t="s">
        <v>49</v>
      </c>
      <c r="G2" s="45" t="s">
        <v>50</v>
      </c>
      <c r="H2" s="45" t="s">
        <v>51</v>
      </c>
      <c r="I2" s="45" t="s">
        <v>52</v>
      </c>
      <c r="J2" s="45" t="s">
        <v>53</v>
      </c>
      <c r="K2" s="45" t="s">
        <v>54</v>
      </c>
      <c r="L2" s="45" t="s">
        <v>55</v>
      </c>
      <c r="M2" s="45" t="s">
        <v>65</v>
      </c>
      <c r="N2" s="45" t="s">
        <v>66</v>
      </c>
      <c r="O2" s="45" t="s">
        <v>67</v>
      </c>
      <c r="P2" s="45" t="s">
        <v>68</v>
      </c>
      <c r="Q2" s="45" t="s">
        <v>69</v>
      </c>
      <c r="R2" s="45" t="s">
        <v>70</v>
      </c>
      <c r="S2" s="45" t="s">
        <v>71</v>
      </c>
      <c r="T2" s="45" t="s">
        <v>72</v>
      </c>
      <c r="U2" s="45" t="s">
        <v>56</v>
      </c>
      <c r="V2" s="45" t="s">
        <v>60</v>
      </c>
      <c r="W2" s="45" t="s">
        <v>57</v>
      </c>
      <c r="X2" s="45" t="s">
        <v>61</v>
      </c>
      <c r="Y2" s="45" t="s">
        <v>62</v>
      </c>
      <c r="Z2" s="45" t="s">
        <v>63</v>
      </c>
      <c r="AA2" s="45" t="s">
        <v>64</v>
      </c>
      <c r="AB2" s="45" t="s">
        <v>58</v>
      </c>
      <c r="AC2" s="45" t="s">
        <v>73</v>
      </c>
      <c r="AD2" s="45" t="s">
        <v>74</v>
      </c>
      <c r="AE2" s="45" t="s">
        <v>75</v>
      </c>
      <c r="AF2" s="45" t="s">
        <v>76</v>
      </c>
      <c r="AG2" s="45" t="s">
        <v>77</v>
      </c>
      <c r="AH2" s="45" t="s">
        <v>78</v>
      </c>
      <c r="AI2" s="45" t="s">
        <v>79</v>
      </c>
      <c r="AJ2" s="45" t="s">
        <v>80</v>
      </c>
      <c r="AK2" s="45" t="s">
        <v>81</v>
      </c>
      <c r="AL2" s="45" t="s">
        <v>82</v>
      </c>
      <c r="AM2" s="45" t="s">
        <v>83</v>
      </c>
      <c r="AN2" s="46" t="s">
        <v>44</v>
      </c>
      <c r="AO2" s="46" t="s">
        <v>43</v>
      </c>
    </row>
  </sheetData>
  <phoneticPr fontId="3" type="noConversion"/>
  <conditionalFormatting sqref="F2:F1048576">
    <cfRule type="duplicateValues" dxfId="15" priority="1"/>
    <cfRule type="duplicateValues" dxfId="14" priority="2"/>
    <cfRule type="duplicateValues" dxfId="13" priority="3"/>
  </conditionalFormatting>
  <conditionalFormatting sqref="J2:J1048576">
    <cfRule type="duplicateValues" dxfId="12" priority="4"/>
    <cfRule type="duplicateValues" dxfId="11" priority="5"/>
    <cfRule type="duplicateValues" dxfId="10" priority="6"/>
  </conditionalFormatting>
  <conditionalFormatting sqref="AC1:AC1048576">
    <cfRule type="duplicateValues" dxfId="9" priority="7"/>
  </conditionalFormatting>
  <conditionalFormatting sqref="AE1:AE1048576">
    <cfRule type="duplicateValues" dxfId="8" priority="8"/>
  </conditionalFormatting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A8A4-BB10-460A-AC2C-37332EFCE482}">
  <dimension ref="A1:BA2"/>
  <sheetViews>
    <sheetView zoomScaleNormal="100" workbookViewId="0"/>
  </sheetViews>
  <sheetFormatPr defaultColWidth="10.26953125" defaultRowHeight="16" x14ac:dyDescent="0.45"/>
  <cols>
    <col min="1" max="5" width="12.54296875" style="29" customWidth="1"/>
    <col min="6" max="6" width="14.81640625" style="29" customWidth="1"/>
    <col min="7" max="7" width="8.54296875" style="30" customWidth="1"/>
    <col min="8" max="8" width="18.54296875" style="37" customWidth="1"/>
    <col min="9" max="10" width="15" style="30" customWidth="1"/>
    <col min="11" max="11" width="10.7265625" style="30" customWidth="1"/>
    <col min="12" max="12" width="8.7265625" style="30" customWidth="1"/>
    <col min="13" max="13" width="16.54296875" style="30" customWidth="1"/>
    <col min="14" max="15" width="16.54296875" style="37" customWidth="1"/>
    <col min="16" max="16" width="16.54296875" style="30" customWidth="1"/>
    <col min="17" max="17" width="10.26953125" style="30" customWidth="1"/>
    <col min="18" max="20" width="15.7265625" style="30" customWidth="1"/>
    <col min="21" max="22" width="32.54296875" style="31" customWidth="1"/>
    <col min="23" max="25" width="13.7265625" style="31" customWidth="1"/>
    <col min="26" max="27" width="32.54296875" style="31" customWidth="1"/>
    <col min="28" max="28" width="8.54296875" style="31" customWidth="1"/>
    <col min="29" max="29" width="15" style="31" customWidth="1"/>
    <col min="30" max="30" width="10.453125" style="31" customWidth="1"/>
    <col min="31" max="31" width="18.1796875" style="31" customWidth="1"/>
    <col min="32" max="35" width="10.7265625" style="31" customWidth="1"/>
    <col min="36" max="39" width="12.453125" style="31" customWidth="1"/>
    <col min="40" max="41" width="13.7265625" style="31" customWidth="1"/>
    <col min="42" max="43" width="32.54296875" style="31" customWidth="1"/>
    <col min="44" max="52" width="32.54296875" style="30" customWidth="1"/>
    <col min="53" max="16384" width="10.26953125" style="29"/>
  </cols>
  <sheetData>
    <row r="1" spans="1:53" s="40" customFormat="1" x14ac:dyDescent="0.4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2"/>
      <c r="P1" s="43"/>
      <c r="Q1" s="43"/>
      <c r="R1" s="43"/>
      <c r="S1" s="43"/>
      <c r="T1" s="43"/>
      <c r="U1" s="43"/>
      <c r="V1" s="44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8"/>
      <c r="AT1" s="38"/>
      <c r="AU1" s="38"/>
      <c r="AV1" s="38"/>
      <c r="AW1" s="38"/>
      <c r="AX1" s="38"/>
      <c r="AY1" s="38"/>
      <c r="AZ1" s="38"/>
      <c r="BA1" s="38"/>
    </row>
    <row r="2" spans="1:53" s="47" customFormat="1" x14ac:dyDescent="0.45">
      <c r="A2" s="45" t="s">
        <v>45</v>
      </c>
      <c r="B2" s="45" t="s">
        <v>46</v>
      </c>
      <c r="C2" s="45" t="s">
        <v>35</v>
      </c>
      <c r="D2" s="45" t="s">
        <v>47</v>
      </c>
      <c r="E2" s="45" t="s">
        <v>48</v>
      </c>
      <c r="F2" s="45" t="s">
        <v>49</v>
      </c>
      <c r="G2" s="45" t="s">
        <v>50</v>
      </c>
      <c r="H2" s="45" t="s">
        <v>51</v>
      </c>
      <c r="I2" s="45" t="s">
        <v>52</v>
      </c>
      <c r="J2" s="45" t="s">
        <v>53</v>
      </c>
      <c r="K2" s="45" t="s">
        <v>54</v>
      </c>
      <c r="L2" s="45" t="s">
        <v>55</v>
      </c>
      <c r="M2" s="45" t="s">
        <v>65</v>
      </c>
      <c r="N2" s="45" t="s">
        <v>66</v>
      </c>
      <c r="O2" s="45" t="s">
        <v>67</v>
      </c>
      <c r="P2" s="45" t="s">
        <v>68</v>
      </c>
      <c r="Q2" s="45" t="s">
        <v>69</v>
      </c>
      <c r="R2" s="45" t="s">
        <v>70</v>
      </c>
      <c r="S2" s="45" t="s">
        <v>71</v>
      </c>
      <c r="T2" s="45" t="s">
        <v>72</v>
      </c>
      <c r="U2" s="45" t="s">
        <v>56</v>
      </c>
      <c r="V2" s="45" t="s">
        <v>60</v>
      </c>
      <c r="W2" s="45" t="s">
        <v>57</v>
      </c>
      <c r="X2" s="45" t="s">
        <v>61</v>
      </c>
      <c r="Y2" s="45" t="s">
        <v>62</v>
      </c>
      <c r="Z2" s="45" t="s">
        <v>63</v>
      </c>
      <c r="AA2" s="45" t="s">
        <v>64</v>
      </c>
      <c r="AB2" s="45" t="s">
        <v>58</v>
      </c>
      <c r="AC2" s="45" t="s">
        <v>73</v>
      </c>
      <c r="AD2" s="45" t="s">
        <v>74</v>
      </c>
      <c r="AE2" s="45" t="s">
        <v>75</v>
      </c>
      <c r="AF2" s="45" t="s">
        <v>76</v>
      </c>
      <c r="AG2" s="45" t="s">
        <v>77</v>
      </c>
      <c r="AH2" s="45" t="s">
        <v>78</v>
      </c>
      <c r="AI2" s="45" t="s">
        <v>79</v>
      </c>
      <c r="AJ2" s="45" t="s">
        <v>80</v>
      </c>
      <c r="AK2" s="45" t="s">
        <v>81</v>
      </c>
      <c r="AL2" s="45" t="s">
        <v>82</v>
      </c>
      <c r="AM2" s="45" t="s">
        <v>83</v>
      </c>
      <c r="AN2" s="46" t="s">
        <v>44</v>
      </c>
      <c r="AO2" s="46" t="s">
        <v>43</v>
      </c>
    </row>
  </sheetData>
  <phoneticPr fontId="3" type="noConversion"/>
  <conditionalFormatting sqref="F2:F1048576">
    <cfRule type="duplicateValues" dxfId="7" priority="1"/>
    <cfRule type="duplicateValues" dxfId="6" priority="2"/>
    <cfRule type="duplicateValues" dxfId="5" priority="3"/>
  </conditionalFormatting>
  <conditionalFormatting sqref="J2:J1048576">
    <cfRule type="duplicateValues" dxfId="4" priority="4"/>
    <cfRule type="duplicateValues" dxfId="3" priority="5"/>
    <cfRule type="duplicateValues" dxfId="2" priority="6"/>
  </conditionalFormatting>
  <conditionalFormatting sqref="AC1:AC1048576">
    <cfRule type="duplicateValues" dxfId="1" priority="7"/>
  </conditionalFormatting>
  <conditionalFormatting sqref="AE1:AE1048576">
    <cfRule type="duplicateValues" dxfId="0" priority="8"/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명세서</vt:lpstr>
      <vt:lpstr>전체주문내역</vt:lpstr>
      <vt:lpstr>반품</vt:lpstr>
      <vt:lpstr>교환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helen235@naver.com</dc:creator>
  <cp:lastModifiedBy>연선 허</cp:lastModifiedBy>
  <dcterms:created xsi:type="dcterms:W3CDTF">2024-10-10T03:09:16Z</dcterms:created>
  <dcterms:modified xsi:type="dcterms:W3CDTF">2026-06-20T16:29:27Z</dcterms:modified>
</cp:coreProperties>
</file>